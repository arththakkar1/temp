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ocuments\arth\"/>
    </mc:Choice>
  </mc:AlternateContent>
  <xr:revisionPtr revIDLastSave="0" documentId="8_{AC084138-D4ED-4053-8EFC-42A6736D6AC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" sheetId="6" r:id="rId6"/>
    <sheet name="Answer-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7" l="1"/>
  <c r="L11" i="7"/>
  <c r="L12" i="7"/>
  <c r="L13" i="7"/>
  <c r="L9" i="7"/>
  <c r="L3" i="6"/>
  <c r="L4" i="6"/>
  <c r="L5" i="6"/>
  <c r="L6" i="6"/>
  <c r="L7" i="6"/>
  <c r="L2" i="6"/>
  <c r="I19" i="6"/>
  <c r="E19" i="6"/>
  <c r="F19" i="6" s="1"/>
  <c r="C19" i="6"/>
  <c r="B19" i="6"/>
  <c r="D19" i="6" s="1"/>
  <c r="I21" i="6"/>
  <c r="E21" i="6"/>
  <c r="F21" i="6" s="1"/>
  <c r="C21" i="6"/>
  <c r="B21" i="6"/>
  <c r="J23" i="6"/>
  <c r="I23" i="6"/>
  <c r="E23" i="6"/>
  <c r="F23" i="6" s="1"/>
  <c r="C23" i="6"/>
  <c r="B23" i="6"/>
  <c r="D23" i="6" s="1"/>
  <c r="I22" i="6"/>
  <c r="E22" i="6"/>
  <c r="F22" i="6" s="1"/>
  <c r="C22" i="6"/>
  <c r="B22" i="6"/>
  <c r="I20" i="6"/>
  <c r="E20" i="6"/>
  <c r="F20" i="6" s="1"/>
  <c r="C20" i="6"/>
  <c r="B20" i="6"/>
  <c r="J20" i="6" s="1"/>
  <c r="I18" i="6"/>
  <c r="E18" i="6"/>
  <c r="F18" i="6" s="1"/>
  <c r="C18" i="6"/>
  <c r="B18" i="6"/>
  <c r="K2" i="6"/>
  <c r="K3" i="6"/>
  <c r="K4" i="6"/>
  <c r="K5" i="6"/>
  <c r="K6" i="6"/>
  <c r="K7" i="6"/>
  <c r="Q5" i="6"/>
  <c r="Q4" i="6"/>
  <c r="J3" i="6"/>
  <c r="J4" i="6"/>
  <c r="J5" i="6"/>
  <c r="J6" i="6"/>
  <c r="J7" i="6"/>
  <c r="J2" i="6"/>
  <c r="B12" i="6"/>
  <c r="B13" i="6"/>
  <c r="B14" i="6"/>
  <c r="B11" i="6"/>
  <c r="I3" i="6"/>
  <c r="I4" i="6"/>
  <c r="I5" i="6"/>
  <c r="I6" i="6"/>
  <c r="I7" i="6"/>
  <c r="I2" i="6"/>
  <c r="E2" i="6"/>
  <c r="F2" i="6" s="1"/>
  <c r="G2" i="6" s="1"/>
  <c r="H2" i="6" s="1"/>
  <c r="Q6" i="6" s="1"/>
  <c r="Q7" i="6"/>
  <c r="H3" i="6"/>
  <c r="H4" i="6"/>
  <c r="H5" i="6"/>
  <c r="H6" i="6"/>
  <c r="H7" i="6"/>
  <c r="G3" i="6"/>
  <c r="G4" i="6"/>
  <c r="G5" i="6"/>
  <c r="G6" i="6"/>
  <c r="G7" i="6"/>
  <c r="F7" i="6"/>
  <c r="F3" i="6"/>
  <c r="F4" i="6"/>
  <c r="F5" i="6"/>
  <c r="F6" i="6"/>
  <c r="E3" i="6"/>
  <c r="E4" i="6"/>
  <c r="E5" i="6"/>
  <c r="E6" i="6"/>
  <c r="E7" i="6"/>
  <c r="C3" i="6"/>
  <c r="C4" i="6"/>
  <c r="C5" i="6"/>
  <c r="D5" i="6" s="1"/>
  <c r="C6" i="6"/>
  <c r="D6" i="6" s="1"/>
  <c r="C7" i="6"/>
  <c r="D7" i="6" s="1"/>
  <c r="C2" i="6"/>
  <c r="B3" i="6"/>
  <c r="B4" i="6"/>
  <c r="B5" i="6"/>
  <c r="B6" i="6"/>
  <c r="B7" i="6"/>
  <c r="B2" i="6"/>
  <c r="D2" i="6"/>
  <c r="D3" i="6"/>
  <c r="D4" i="6"/>
  <c r="J32" i="5"/>
  <c r="J21" i="6" l="1"/>
  <c r="D18" i="6"/>
  <c r="G19" i="6"/>
  <c r="H19" i="6" s="1"/>
  <c r="J22" i="6"/>
  <c r="J19" i="6"/>
  <c r="G23" i="6"/>
  <c r="H23" i="6" s="1"/>
  <c r="G18" i="6"/>
  <c r="H18" i="6" s="1"/>
  <c r="D21" i="6"/>
  <c r="G21" i="6" s="1"/>
  <c r="H21" i="6" s="1"/>
  <c r="J18" i="6"/>
  <c r="D20" i="6"/>
  <c r="G20" i="6" s="1"/>
  <c r="H20" i="6" s="1"/>
  <c r="D22" i="6"/>
  <c r="G22" i="6" s="1"/>
  <c r="H22" i="6" s="1"/>
</calcChain>
</file>

<file path=xl/sharedStrings.xml><?xml version="1.0" encoding="utf-8"?>
<sst xmlns="http://schemas.openxmlformats.org/spreadsheetml/2006/main" count="137" uniqueCount="86">
  <si>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</si>
  <si>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</si>
  <si>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</si>
  <si>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</si>
  <si>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</si>
  <si>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</si>
  <si>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</si>
  <si>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</si>
  <si>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</si>
  <si>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</si>
  <si>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</si>
  <si>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</si>
  <si>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</si>
  <si>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</si>
  <si>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</si>
  <si>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</si>
  <si>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</si>
  <si>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</si>
  <si>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</si>
  <si>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</si>
  <si>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</si>
  <si>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</si>
  <si>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</si>
  <si>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</si>
  <si>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</si>
  <si>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</si>
  <si>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</si>
  <si>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</si>
  <si>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</si>
  <si>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</si>
  <si>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</si>
  <si>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</si>
  <si>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</si>
  <si>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</si>
  <si>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</si>
  <si>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</si>
  <si>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</si>
  <si>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</si>
  <si>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</si>
  <si>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</si>
  <si>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</si>
  <si>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</si>
  <si>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</si>
  <si>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</si>
  <si>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</si>
  <si>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</si>
  <si>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</si>
  <si>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</si>
  <si>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</si>
  <si>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</si>
  <si>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</si>
  <si>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</si>
  <si>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</si>
  <si>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</si>
  <si>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</si>
  <si>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</si>
  <si>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</si>
  <si>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</si>
  <si>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</si>
  <si>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</si>
  <si>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</si>
  <si>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</si>
  <si>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</si>
  <si>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</si>
  <si>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</si>
  <si>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</si>
  <si>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</si>
  <si>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</si>
  <si>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</si>
  <si>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</si>
  <si>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</si>
  <si>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</si>
  <si>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</si>
  <si>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Salse</t>
  </si>
  <si>
    <t>GST Amount</t>
  </si>
  <si>
    <t>Final Amount</t>
  </si>
  <si>
    <t>Total Final Amount</t>
  </si>
  <si>
    <t>Number of Orders</t>
  </si>
  <si>
    <t xml:space="preserve">Total </t>
  </si>
  <si>
    <t>Quantity_c</t>
  </si>
  <si>
    <t>Min Final Amount</t>
  </si>
  <si>
    <t>Max Final Amount</t>
  </si>
  <si>
    <t>Month</t>
  </si>
  <si>
    <t>Names</t>
  </si>
  <si>
    <t>Math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</si>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</sst>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6D343-0569-48AE-8D12-5F9A973CF0A7}" name="Table1" displayName="Table1" ref="A17:J23" totalsRowShown="0">
  <autoFilter ref="A17:J23" xr:uid="{9EC6D343-0569-48AE-8D12-5F9A973CF0A7}"/>
  <sortState xmlns:xlrd2="http://schemas.microsoft.com/office/spreadsheetml/2017/richdata2" ref="A18:J23">
    <sortCondition descending="1" ref="H17:H23"/>
  </sortState>
  <tableColumns count="10">
    <tableColumn id="1" xr3:uid="{29FA24AB-9FFE-4A53-AEC8-023D3001C1F4}" name="Order_ID"/>
    <tableColumn id="2" xr3:uid="{C0E00109-427C-4044-90B9-057368F6F19E}" name="Quantity">
      <calculatedColumnFormula>VLOOKUP(A18,Sales_Data!$A$1:$G$7,5,0)</calculatedColumnFormula>
    </tableColumn>
    <tableColumn id="3" xr3:uid="{D395E244-6B0A-4E4B-8028-1C15635F78DE}" name="Unit_Price">
      <calculatedColumnFormula>VLOOKUP(A18,Sales_Data!$A$1:$G$7,6,0)</calculatedColumnFormula>
    </tableColumn>
    <tableColumn id="4" xr3:uid="{FFEAF62E-8770-405A-9555-C37077F215FA}" name="Total Salse">
      <calculatedColumnFormula>B18*C18</calculatedColumnFormula>
    </tableColumn>
    <tableColumn id="5" xr3:uid="{5D4F4DA2-6AB9-4D19-82D5-330FA3EA9190}" name="Product">
      <calculatedColumnFormula>VLOOKUP(A18,Sales_Data!$A$1:$G$7,4,0)</calculatedColumnFormula>
    </tableColumn>
    <tableColumn id="6" xr3:uid="{0672D88C-48ED-45FF-892F-2C65F0DF33DA}" name="GST_%">
      <calculatedColumnFormula>VLOOKUP(E18,Product_Master!$A$1:$C$4,3,0)</calculatedColumnFormula>
    </tableColumn>
    <tableColumn id="7" xr3:uid="{1DE74F76-2817-4E44-BF99-B38A749E5772}" name="GST Amount">
      <calculatedColumnFormula>F18*D18/100</calculatedColumnFormula>
    </tableColumn>
    <tableColumn id="8" xr3:uid="{28133392-EF1C-4826-8F46-CFCCBF8D327F}" name="Final Amount">
      <calculatedColumnFormula>G18+D18</calculatedColumnFormula>
    </tableColumn>
    <tableColumn id="9" xr3:uid="{0178CACA-846D-41BB-85B4-DFBF69A7A69F}" name="Region">
      <calculatedColumnFormula>VLOOKUP(A18,Sales_Data!$A$1:$G$7,2,0)</calculatedColumnFormula>
    </tableColumn>
    <tableColumn id="10" xr3:uid="{766FDC8A-8E97-4405-93DC-A26D9CB6EE75}" name="Quantity_c">
      <calculatedColumnFormula>IF(Answer!B18&gt;3,"High","Low")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" sqref="C1"/>
    </sheetView>
  </sheetViews>
  <sheetFormatPr defaultRowHeight="15" x14ac:dyDescent="0.25"/>
  <cols>
    <col min="1" max="1" width="11.7109375" customWidth="1"/>
    <col min="2" max="2" width="12.5703125" customWidth="1"/>
  </cols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activeCell="O30" sqref="O30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5" x14ac:dyDescent="0.25">
      <c r="A17" t="s">
        <v>58</v>
      </c>
      <c r="J17">
        <v>2</v>
      </c>
    </row>
    <row r="18" spans="1:15" x14ac:dyDescent="0.25">
      <c r="A18" t="s">
        <v>59</v>
      </c>
      <c r="J18">
        <v>2</v>
      </c>
    </row>
    <row r="19" spans="1:15" x14ac:dyDescent="0.25">
      <c r="A19" t="s">
        <v>60</v>
      </c>
      <c r="J19">
        <v>2</v>
      </c>
    </row>
    <row r="20" spans="1:15" x14ac:dyDescent="0.25">
      <c r="A20" t="s">
        <v>61</v>
      </c>
      <c r="J20">
        <v>2</v>
      </c>
    </row>
    <row r="21" spans="1:15" x14ac:dyDescent="0.25">
      <c r="A21" t="s">
        <v>62</v>
      </c>
      <c r="J21">
        <v>2</v>
      </c>
    </row>
    <row r="22" spans="1:15" x14ac:dyDescent="0.25">
      <c r="A22" t="s">
        <v>63</v>
      </c>
      <c r="J22">
        <v>2</v>
      </c>
    </row>
    <row r="23" spans="1:15" x14ac:dyDescent="0.25">
      <c r="A23" t="s">
        <v>64</v>
      </c>
      <c r="J23">
        <v>2</v>
      </c>
    </row>
    <row r="24" spans="1:15" x14ac:dyDescent="0.25">
      <c r="A24" t="s">
        <v>65</v>
      </c>
      <c r="J24">
        <v>2</v>
      </c>
    </row>
    <row r="25" spans="1:15" x14ac:dyDescent="0.25">
      <c r="A25" t="s">
        <v>66</v>
      </c>
      <c r="J25">
        <v>2</v>
      </c>
    </row>
    <row r="26" spans="1:15" x14ac:dyDescent="0.25">
      <c r="A26" t="s">
        <v>67</v>
      </c>
      <c r="J26">
        <v>2</v>
      </c>
    </row>
    <row r="27" spans="1:15" x14ac:dyDescent="0.25">
      <c r="A27" t="s">
        <v>68</v>
      </c>
      <c r="J27">
        <v>2</v>
      </c>
    </row>
    <row r="28" spans="1:15" x14ac:dyDescent="0.25">
      <c r="A28" t="s">
        <v>69</v>
      </c>
      <c r="J28">
        <v>2</v>
      </c>
    </row>
    <row r="29" spans="1:15" x14ac:dyDescent="0.25">
      <c r="A29" t="s">
        <v>70</v>
      </c>
      <c r="J29">
        <v>2</v>
      </c>
    </row>
    <row r="30" spans="1:15" x14ac:dyDescent="0.25">
      <c r="A30" t="s">
        <v>71</v>
      </c>
      <c r="J30">
        <v>2</v>
      </c>
      <c r="O30" t="s">
        <v>85</v>
      </c>
    </row>
    <row r="32" spans="1:15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B930-82A3-4D7E-B952-C4E50E303B12}">
  <dimension ref="A1:Q23"/>
  <sheetViews>
    <sheetView workbookViewId="0">
      <selection activeCell="L2" sqref="L2:L7"/>
    </sheetView>
  </sheetViews>
  <sheetFormatPr defaultRowHeight="15" x14ac:dyDescent="0.25"/>
  <cols>
    <col min="1" max="1" width="11.140625" customWidth="1"/>
    <col min="2" max="2" width="10.85546875" customWidth="1"/>
    <col min="3" max="3" width="12.42578125" customWidth="1"/>
    <col min="4" max="4" width="12.5703125" customWidth="1"/>
    <col min="5" max="5" width="10" customWidth="1"/>
    <col min="6" max="6" width="9.140625" customWidth="1"/>
    <col min="7" max="7" width="14.140625" customWidth="1"/>
    <col min="8" max="8" width="15" customWidth="1"/>
    <col min="9" max="9" width="9.28515625" customWidth="1"/>
    <col min="10" max="10" width="12.7109375" customWidth="1"/>
    <col min="11" max="11" width="18" bestFit="1" customWidth="1"/>
    <col min="12" max="12" width="8.42578125" bestFit="1" customWidth="1"/>
    <col min="16" max="16" width="18" bestFit="1" customWidth="1"/>
    <col min="17" max="17" width="7" bestFit="1" customWidth="1"/>
  </cols>
  <sheetData>
    <row r="1" spans="1:17" x14ac:dyDescent="0.25">
      <c r="A1" t="s">
        <v>4</v>
      </c>
      <c r="B1" t="s">
        <v>8</v>
      </c>
      <c r="C1" t="s">
        <v>9</v>
      </c>
      <c r="D1" t="s">
        <v>73</v>
      </c>
      <c r="E1" t="s">
        <v>7</v>
      </c>
      <c r="F1" t="s">
        <v>29</v>
      </c>
      <c r="G1" t="s">
        <v>74</v>
      </c>
      <c r="H1" t="s">
        <v>75</v>
      </c>
      <c r="I1" t="s">
        <v>5</v>
      </c>
      <c r="J1" t="s">
        <v>79</v>
      </c>
      <c r="K1" t="s">
        <v>82</v>
      </c>
      <c r="L1" t="s">
        <v>7</v>
      </c>
    </row>
    <row r="2" spans="1:17" x14ac:dyDescent="0.25">
      <c r="A2">
        <v>301</v>
      </c>
      <c r="B2">
        <f>VLOOKUP(A2,Sales_Data!$A$1:$G$7,5,0)</f>
        <v>2</v>
      </c>
      <c r="C2">
        <f>VLOOKUP(A2,Sales_Data!$A$1:$G$7,6,0)</f>
        <v>45000</v>
      </c>
      <c r="D2">
        <f>B2*C2</f>
        <v>90000</v>
      </c>
      <c r="E2" t="str">
        <f>VLOOKUP(A2,Sales_Data!$A$1:$G$7,4,0)</f>
        <v>Laptop</v>
      </c>
      <c r="F2">
        <f>VLOOKUP(E2,Product_Master!$A$1:$C$4,3,0)</f>
        <v>18</v>
      </c>
      <c r="G2">
        <f>F2*D2/100</f>
        <v>16200</v>
      </c>
      <c r="H2">
        <f>G2+D2</f>
        <v>106200</v>
      </c>
      <c r="I2" t="str">
        <f>VLOOKUP(A2,Sales_Data!$A$1:$G$7,2,0)</f>
        <v>North</v>
      </c>
      <c r="J2" t="str">
        <f>IF(Answer!B2&gt;3,"High","Low")</f>
        <v>Low</v>
      </c>
      <c r="K2" s="1" t="str">
        <f>TRIM(Sales_Data!G2:G7)</f>
        <v>05-01-2025</v>
      </c>
      <c r="L2" t="str">
        <f>INDEX(Product_Master!$A$1:$C$4,MATCH(E2,Product_Master!$A$1:$A$4,0),1)</f>
        <v>Laptop</v>
      </c>
    </row>
    <row r="3" spans="1:17" x14ac:dyDescent="0.25">
      <c r="A3">
        <v>302</v>
      </c>
      <c r="B3">
        <f>VLOOKUP(A3,Sales_Data!$A$1:$G$7,5,0)</f>
        <v>5</v>
      </c>
      <c r="C3">
        <f>VLOOKUP(A3,Sales_Data!$A$1:$G$7,6,0)</f>
        <v>15000</v>
      </c>
      <c r="D3">
        <f t="shared" ref="D3:D7" si="0">B3*C3</f>
        <v>75000</v>
      </c>
      <c r="E3" t="str">
        <f>VLOOKUP(A3,Sales_Data!$A$1:$G$7,4,0)</f>
        <v>Mobile</v>
      </c>
      <c r="F3">
        <f>VLOOKUP(E3,Product_Master!$A$1:$C$4,3,0)</f>
        <v>12</v>
      </c>
      <c r="G3">
        <f t="shared" ref="G3:G7" si="1">F3*D3/100</f>
        <v>9000</v>
      </c>
      <c r="H3">
        <f t="shared" ref="H3:H8" si="2">G3+D3</f>
        <v>84000</v>
      </c>
      <c r="I3" t="str">
        <f>VLOOKUP(A3,Sales_Data!$A$1:$G$7,2,0)</f>
        <v>South</v>
      </c>
      <c r="J3" t="str">
        <f>IF(Answer!B3&gt;3,"High","Low")</f>
        <v>High</v>
      </c>
      <c r="K3" s="1" t="str">
        <f>TRIM(Sales_Data!G3:G8)</f>
        <v>07-01-2025</v>
      </c>
      <c r="L3" t="str">
        <f>INDEX(Product_Master!$A$1:$C$4,MATCH(E3,Product_Master!$A$1:$A$4,0),1)</f>
        <v>Mobile</v>
      </c>
    </row>
    <row r="4" spans="1:17" x14ac:dyDescent="0.25">
      <c r="A4">
        <v>303</v>
      </c>
      <c r="B4">
        <f>VLOOKUP(A4,Sales_Data!$A$1:$G$7,5,0)</f>
        <v>3</v>
      </c>
      <c r="C4">
        <f>VLOOKUP(A4,Sales_Data!$A$1:$G$7,6,0)</f>
        <v>18000</v>
      </c>
      <c r="D4">
        <f t="shared" si="0"/>
        <v>54000</v>
      </c>
      <c r="E4" t="str">
        <f>VLOOKUP(A4,Sales_Data!$A$1:$G$7,4,0)</f>
        <v>Tablet</v>
      </c>
      <c r="F4">
        <f>VLOOKUP(E4,Product_Master!$A$1:$C$4,3,0)</f>
        <v>12</v>
      </c>
      <c r="G4">
        <f t="shared" si="1"/>
        <v>6480</v>
      </c>
      <c r="H4">
        <f t="shared" si="2"/>
        <v>60480</v>
      </c>
      <c r="I4" t="str">
        <f>VLOOKUP(A4,Sales_Data!$A$1:$G$7,2,0)</f>
        <v>East</v>
      </c>
      <c r="J4" t="str">
        <f>IF(Answer!B4&gt;3,"High","Low")</f>
        <v>Low</v>
      </c>
      <c r="K4" s="1" t="str">
        <f>TRIM(Sales_Data!G4:G9)</f>
        <v>10-01-2025</v>
      </c>
      <c r="L4" t="str">
        <f>INDEX(Product_Master!$A$1:$C$4,MATCH(E4,Product_Master!$A$1:$A$4,0),1)</f>
        <v>Tablet</v>
      </c>
      <c r="P4" t="s">
        <v>81</v>
      </c>
      <c r="Q4">
        <f>MAX(H2:H7)</f>
        <v>106200</v>
      </c>
    </row>
    <row r="5" spans="1:17" x14ac:dyDescent="0.25">
      <c r="A5">
        <v>304</v>
      </c>
      <c r="B5">
        <f>VLOOKUP(A5,Sales_Data!$A$1:$G$7,5,0)</f>
        <v>1</v>
      </c>
      <c r="C5">
        <f>VLOOKUP(A5,Sales_Data!$A$1:$G$7,6,0)</f>
        <v>45000</v>
      </c>
      <c r="D5">
        <f t="shared" si="0"/>
        <v>45000</v>
      </c>
      <c r="E5" t="str">
        <f>VLOOKUP(A5,Sales_Data!$A$1:$G$7,4,0)</f>
        <v>Laptop</v>
      </c>
      <c r="F5">
        <f>VLOOKUP(E5,Product_Master!$A$1:$C$4,3,0)</f>
        <v>18</v>
      </c>
      <c r="G5">
        <f t="shared" si="1"/>
        <v>8100</v>
      </c>
      <c r="H5">
        <f t="shared" si="2"/>
        <v>53100</v>
      </c>
      <c r="I5" t="str">
        <f>VLOOKUP(A5,Sales_Data!$A$1:$G$7,2,0)</f>
        <v>West</v>
      </c>
      <c r="J5" t="str">
        <f>IF(Answer!B5&gt;3,"High","Low")</f>
        <v>Low</v>
      </c>
      <c r="K5" s="1" t="str">
        <f>TRIM(Sales_Data!G5:G10)</f>
        <v>12-01-2025</v>
      </c>
      <c r="L5" t="str">
        <f>INDEX(Product_Master!$A$1:$C$4,MATCH(E5,Product_Master!$A$1:$A$4,0),1)</f>
        <v>Laptop</v>
      </c>
      <c r="P5" t="s">
        <v>80</v>
      </c>
      <c r="Q5">
        <f>MIN(H2:H7)</f>
        <v>53100</v>
      </c>
    </row>
    <row r="6" spans="1:17" x14ac:dyDescent="0.25">
      <c r="A6">
        <v>305</v>
      </c>
      <c r="B6">
        <f>VLOOKUP(A6,Sales_Data!$A$1:$G$7,5,0)</f>
        <v>4</v>
      </c>
      <c r="C6">
        <f>VLOOKUP(A6,Sales_Data!$A$1:$G$7,6,0)</f>
        <v>15000</v>
      </c>
      <c r="D6">
        <f t="shared" si="0"/>
        <v>60000</v>
      </c>
      <c r="E6" t="str">
        <f>VLOOKUP(A6,Sales_Data!$A$1:$G$7,4,0)</f>
        <v>Mobile</v>
      </c>
      <c r="F6">
        <f>VLOOKUP(E6,Product_Master!$A$1:$C$4,3,0)</f>
        <v>12</v>
      </c>
      <c r="G6">
        <f t="shared" si="1"/>
        <v>7200</v>
      </c>
      <c r="H6">
        <f t="shared" si="2"/>
        <v>67200</v>
      </c>
      <c r="I6" t="str">
        <f>VLOOKUP(A6,Sales_Data!$A$1:$G$7,2,0)</f>
        <v>North</v>
      </c>
      <c r="J6" t="str">
        <f>IF(Answer!B6&gt;3,"High","Low")</f>
        <v>High</v>
      </c>
      <c r="K6" s="1" t="str">
        <f>TRIM(Sales_Data!G6:G11)</f>
        <v>15-01-2025</v>
      </c>
      <c r="L6" t="str">
        <f>INDEX(Product_Master!$A$1:$C$4,MATCH(E6,Product_Master!$A$1:$A$4,0),1)</f>
        <v>Mobile</v>
      </c>
      <c r="P6" t="s">
        <v>76</v>
      </c>
      <c r="Q6">
        <f>SUM(H2:H7)</f>
        <v>477180</v>
      </c>
    </row>
    <row r="7" spans="1:17" x14ac:dyDescent="0.25">
      <c r="A7">
        <v>306</v>
      </c>
      <c r="B7">
        <f>VLOOKUP(A7,Sales_Data!$A$1:$G$7,5,0)</f>
        <v>2</v>
      </c>
      <c r="C7">
        <f>VLOOKUP(A7,Sales_Data!$A$1:$G$7,6,0)</f>
        <v>45000</v>
      </c>
      <c r="D7">
        <f t="shared" si="0"/>
        <v>90000</v>
      </c>
      <c r="E7" t="str">
        <f>VLOOKUP(A7,Sales_Data!$A$1:$G$7,4,0)</f>
        <v>Laptop</v>
      </c>
      <c r="F7">
        <f>VLOOKUP(E7,Product_Master!$A$1:$C$4,3,0)</f>
        <v>18</v>
      </c>
      <c r="G7">
        <f t="shared" si="1"/>
        <v>16200</v>
      </c>
      <c r="H7">
        <f t="shared" si="2"/>
        <v>106200</v>
      </c>
      <c r="I7" t="str">
        <f>VLOOKUP(A7,Sales_Data!$A$1:$G$7,2,0)</f>
        <v>South</v>
      </c>
      <c r="J7" t="str">
        <f>IF(Answer!B7&gt;3,"High","Low")</f>
        <v>Low</v>
      </c>
      <c r="K7" s="1" t="str">
        <f>TRIM(Sales_Data!G7:G12)</f>
        <v>18-01-2025</v>
      </c>
      <c r="L7" t="str">
        <f>INDEX(Product_Master!$A$1:$C$4,MATCH(E7,Product_Master!$A$1:$A$4,0),1)</f>
        <v>Laptop</v>
      </c>
      <c r="P7" t="s">
        <v>77</v>
      </c>
      <c r="Q7">
        <f>COUNTA(A2:A7)</f>
        <v>6</v>
      </c>
    </row>
    <row r="10" spans="1:17" x14ac:dyDescent="0.25">
      <c r="A10" t="s">
        <v>5</v>
      </c>
      <c r="B10" t="s">
        <v>78</v>
      </c>
    </row>
    <row r="11" spans="1:17" x14ac:dyDescent="0.25">
      <c r="A11" t="s">
        <v>11</v>
      </c>
      <c r="B11">
        <f>SUMIF(I2:I7,"North",H2:H7)</f>
        <v>173400</v>
      </c>
    </row>
    <row r="12" spans="1:17" x14ac:dyDescent="0.25">
      <c r="A12" t="s">
        <v>15</v>
      </c>
      <c r="B12">
        <f t="shared" ref="B12:B14" si="3">SUMIF(I3:I8,"North",H3:H8)</f>
        <v>67200</v>
      </c>
    </row>
    <row r="13" spans="1:17" x14ac:dyDescent="0.25">
      <c r="A13" t="s">
        <v>19</v>
      </c>
      <c r="B13">
        <f t="shared" si="3"/>
        <v>67200</v>
      </c>
    </row>
    <row r="14" spans="1:17" x14ac:dyDescent="0.25">
      <c r="A14" t="s">
        <v>23</v>
      </c>
      <c r="B14">
        <f t="shared" si="3"/>
        <v>67200</v>
      </c>
    </row>
    <row r="17" spans="1:11" x14ac:dyDescent="0.25">
      <c r="A17" t="s">
        <v>4</v>
      </c>
      <c r="B17" t="s">
        <v>8</v>
      </c>
      <c r="C17" t="s">
        <v>9</v>
      </c>
      <c r="D17" t="s">
        <v>73</v>
      </c>
      <c r="E17" t="s">
        <v>7</v>
      </c>
      <c r="F17" t="s">
        <v>29</v>
      </c>
      <c r="G17" t="s">
        <v>74</v>
      </c>
      <c r="H17" t="s">
        <v>75</v>
      </c>
      <c r="I17" t="s">
        <v>5</v>
      </c>
      <c r="J17" t="s">
        <v>79</v>
      </c>
    </row>
    <row r="18" spans="1:11" x14ac:dyDescent="0.25">
      <c r="A18">
        <v>301</v>
      </c>
      <c r="B18">
        <f>VLOOKUP(A18,Sales_Data!$A$1:$G$7,5,0)</f>
        <v>2</v>
      </c>
      <c r="C18">
        <f>VLOOKUP(A18,Sales_Data!$A$1:$G$7,6,0)</f>
        <v>45000</v>
      </c>
      <c r="D18">
        <f>B18*C18</f>
        <v>90000</v>
      </c>
      <c r="E18" t="str">
        <f>VLOOKUP(A18,Sales_Data!$A$1:$G$7,4,0)</f>
        <v>Laptop</v>
      </c>
      <c r="F18">
        <f>VLOOKUP(E18,Product_Master!$A$1:$C$4,3,0)</f>
        <v>18</v>
      </c>
      <c r="G18">
        <f>F18*D18/100</f>
        <v>16200</v>
      </c>
      <c r="H18">
        <f>G18+D18</f>
        <v>106200</v>
      </c>
      <c r="I18" t="str">
        <f>VLOOKUP(A18,Sales_Data!$A$1:$G$7,2,0)</f>
        <v>North</v>
      </c>
      <c r="J18" t="str">
        <f>IF(Answer!B18&gt;3,"High","Low")</f>
        <v>Low</v>
      </c>
      <c r="K18" s="1"/>
    </row>
    <row r="19" spans="1:11" x14ac:dyDescent="0.25">
      <c r="A19">
        <v>306</v>
      </c>
      <c r="B19">
        <f>VLOOKUP(A19,Sales_Data!$A$1:$G$7,5,0)</f>
        <v>2</v>
      </c>
      <c r="C19">
        <f>VLOOKUP(A19,Sales_Data!$A$1:$G$7,6,0)</f>
        <v>45000</v>
      </c>
      <c r="D19">
        <f>B19*C19</f>
        <v>90000</v>
      </c>
      <c r="E19" t="str">
        <f>VLOOKUP(A19,Sales_Data!$A$1:$G$7,4,0)</f>
        <v>Laptop</v>
      </c>
      <c r="F19">
        <f>VLOOKUP(E19,Product_Master!$A$1:$C$4,3,0)</f>
        <v>18</v>
      </c>
      <c r="G19">
        <f>F19*D19/100</f>
        <v>16200</v>
      </c>
      <c r="H19">
        <f>G19+D19</f>
        <v>106200</v>
      </c>
      <c r="I19" t="str">
        <f>VLOOKUP(A19,Sales_Data!$A$1:$G$7,2,0)</f>
        <v>South</v>
      </c>
      <c r="J19" t="str">
        <f>IF(Answer!B23&gt;3,"High","Low")</f>
        <v>Low</v>
      </c>
      <c r="K19" s="1"/>
    </row>
    <row r="20" spans="1:11" x14ac:dyDescent="0.25">
      <c r="A20">
        <v>302</v>
      </c>
      <c r="B20">
        <f>VLOOKUP(A20,Sales_Data!$A$1:$G$7,5,0)</f>
        <v>5</v>
      </c>
      <c r="C20">
        <f>VLOOKUP(A20,Sales_Data!$A$1:$G$7,6,0)</f>
        <v>15000</v>
      </c>
      <c r="D20">
        <f>B20*C20</f>
        <v>75000</v>
      </c>
      <c r="E20" t="str">
        <f>VLOOKUP(A20,Sales_Data!$A$1:$G$7,4,0)</f>
        <v>Mobile</v>
      </c>
      <c r="F20">
        <f>VLOOKUP(E20,Product_Master!$A$1:$C$4,3,0)</f>
        <v>12</v>
      </c>
      <c r="G20">
        <f>F20*D20/100</f>
        <v>9000</v>
      </c>
      <c r="H20">
        <f>G20+D20</f>
        <v>84000</v>
      </c>
      <c r="I20" t="str">
        <f>VLOOKUP(A20,Sales_Data!$A$1:$G$7,2,0)</f>
        <v>South</v>
      </c>
      <c r="J20" t="str">
        <f>IF(Answer!B19&gt;3,"High","Low")</f>
        <v>Low</v>
      </c>
      <c r="K20" s="1"/>
    </row>
    <row r="21" spans="1:11" x14ac:dyDescent="0.25">
      <c r="A21">
        <v>305</v>
      </c>
      <c r="B21">
        <f>VLOOKUP(A21,Sales_Data!$A$1:$G$7,5,0)</f>
        <v>4</v>
      </c>
      <c r="C21">
        <f>VLOOKUP(A21,Sales_Data!$A$1:$G$7,6,0)</f>
        <v>15000</v>
      </c>
      <c r="D21">
        <f>B21*C21</f>
        <v>60000</v>
      </c>
      <c r="E21" t="str">
        <f>VLOOKUP(A21,Sales_Data!$A$1:$G$7,4,0)</f>
        <v>Mobile</v>
      </c>
      <c r="F21">
        <f>VLOOKUP(E21,Product_Master!$A$1:$C$4,3,0)</f>
        <v>12</v>
      </c>
      <c r="G21">
        <f>F21*D21/100</f>
        <v>7200</v>
      </c>
      <c r="H21">
        <f>G21+D21</f>
        <v>67200</v>
      </c>
      <c r="I21" t="str">
        <f>VLOOKUP(A21,Sales_Data!$A$1:$G$7,2,0)</f>
        <v>North</v>
      </c>
      <c r="J21" t="str">
        <f>IF(Answer!B22&gt;3,"High","Low")</f>
        <v>Low</v>
      </c>
      <c r="K21" s="1"/>
    </row>
    <row r="22" spans="1:11" x14ac:dyDescent="0.25">
      <c r="A22">
        <v>303</v>
      </c>
      <c r="B22">
        <f>VLOOKUP(A22,Sales_Data!$A$1:$G$7,5,0)</f>
        <v>3</v>
      </c>
      <c r="C22">
        <f>VLOOKUP(A22,Sales_Data!$A$1:$G$7,6,0)</f>
        <v>18000</v>
      </c>
      <c r="D22">
        <f>B22*C22</f>
        <v>54000</v>
      </c>
      <c r="E22" t="str">
        <f>VLOOKUP(A22,Sales_Data!$A$1:$G$7,4,0)</f>
        <v>Tablet</v>
      </c>
      <c r="F22">
        <f>VLOOKUP(E22,Product_Master!$A$1:$C$4,3,0)</f>
        <v>12</v>
      </c>
      <c r="G22">
        <f>F22*D22/100</f>
        <v>6480</v>
      </c>
      <c r="H22">
        <f>G22+D22</f>
        <v>60480</v>
      </c>
      <c r="I22" t="str">
        <f>VLOOKUP(A22,Sales_Data!$A$1:$G$7,2,0)</f>
        <v>East</v>
      </c>
      <c r="J22" t="str">
        <f>IF(Answer!B20&gt;3,"High","Low")</f>
        <v>High</v>
      </c>
      <c r="K22" s="1"/>
    </row>
    <row r="23" spans="1:11" x14ac:dyDescent="0.25">
      <c r="A23">
        <v>304</v>
      </c>
      <c r="B23">
        <f>VLOOKUP(A23,Sales_Data!$A$1:$G$7,5,0)</f>
        <v>1</v>
      </c>
      <c r="C23">
        <f>VLOOKUP(A23,Sales_Data!$A$1:$G$7,6,0)</f>
        <v>45000</v>
      </c>
      <c r="D23">
        <f>B23*C23</f>
        <v>45000</v>
      </c>
      <c r="E23" t="str">
        <f>VLOOKUP(A23,Sales_Data!$A$1:$G$7,4,0)</f>
        <v>Laptop</v>
      </c>
      <c r="F23">
        <f>VLOOKUP(E23,Product_Master!$A$1:$C$4,3,0)</f>
        <v>18</v>
      </c>
      <c r="G23">
        <f>F23*D23/100</f>
        <v>8100</v>
      </c>
      <c r="H23">
        <f>G23+D23</f>
        <v>53100</v>
      </c>
      <c r="I23" t="str">
        <f>VLOOKUP(A23,Sales_Data!$A$1:$G$7,2,0)</f>
        <v>West</v>
      </c>
      <c r="J23" t="str">
        <f>IF(Answer!B21&gt;3,"High","Low")</f>
        <v>High</v>
      </c>
      <c r="K2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4087-4394-4472-85BD-F4651D2DA664}">
  <dimension ref="A1:L13"/>
  <sheetViews>
    <sheetView tabSelected="1" workbookViewId="0">
      <selection activeCell="E17" sqref="E17"/>
    </sheetView>
  </sheetViews>
  <sheetFormatPr defaultRowHeight="15" x14ac:dyDescent="0.25"/>
  <sheetData>
    <row r="1" spans="1:1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12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12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12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12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12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  <row r="8" spans="1:12" x14ac:dyDescent="0.25">
      <c r="K8" t="s">
        <v>83</v>
      </c>
      <c r="L8" t="s">
        <v>84</v>
      </c>
    </row>
    <row r="9" spans="1:12" x14ac:dyDescent="0.25">
      <c r="K9" t="s">
        <v>37</v>
      </c>
      <c r="L9" s="2">
        <f>SUM(C2:E2)/3</f>
        <v>81.666666666666671</v>
      </c>
    </row>
    <row r="10" spans="1:12" x14ac:dyDescent="0.25">
      <c r="K10" t="s">
        <v>38</v>
      </c>
      <c r="L10" s="2">
        <f t="shared" ref="L10:L13" si="0">SUM(C3:E3)/3</f>
        <v>89.666666666666671</v>
      </c>
    </row>
    <row r="11" spans="1:12" x14ac:dyDescent="0.25">
      <c r="K11" t="s">
        <v>39</v>
      </c>
      <c r="L11" s="2">
        <f t="shared" si="0"/>
        <v>69</v>
      </c>
    </row>
    <row r="12" spans="1:12" x14ac:dyDescent="0.25">
      <c r="K12" t="s">
        <v>40</v>
      </c>
      <c r="L12" s="2">
        <f t="shared" si="0"/>
        <v>91.666666666666671</v>
      </c>
    </row>
    <row r="13" spans="1:12" x14ac:dyDescent="0.25">
      <c r="K13" t="s">
        <v>41</v>
      </c>
      <c r="L13" s="2">
        <f t="shared" si="0"/>
        <v>57.666666666666664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Answer</vt:lpstr>
      <vt:lpstr>Answer-2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ASDC15</cp:lastModifiedBy>
  <dcterms:created xsi:type="dcterms:W3CDTF">2025-12-20T09:26:06Z</dcterms:created>
  <dcterms:modified xsi:type="dcterms:W3CDTF">2026-04-21T10:21:12Z</dcterms:modified>
</cp:coreProperties>
</file>