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SDC36\Documents\arth\"/>
    </mc:Choice>
  </mc:AlternateContent>
  <xr:revisionPtr revIDLastSave="0" documentId="8_{F3E630A9-F57C-451D-9688-98305ADF200C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  <sheet name="Answer-3" sheetId="9" r:id="rId6"/>
    <sheet name="Answer" sheetId="6" r:id="rId7"/>
    <sheet name="Answer-2" sheetId="7" r:id="rId8"/>
    <sheet name="Pivot Table" sheetId="8" r:id="rId9"/>
    <sheet name="Dashboard" sheetId="10" r:id="rId10"/>
  </sheets>
  <definedNames>
    <definedName name="ExternalData_1" localSheetId="5" hidden="1">'Answer-3'!$A$1:$J$7</definedName>
    <definedName name="ExternalData_2" localSheetId="5" hidden="1">'Answer-3'!$A$13:$J$19</definedName>
  </definedNames>
  <calcPr calcId="191029"/>
  <pivotCaches>
    <pivotCache cacheId="4" r:id="rId11"/>
    <pivotCache cacheId="22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7" i="6" l="1"/>
  <c r="O2" i="6"/>
  <c r="M3" i="6"/>
  <c r="N3" i="6" s="1"/>
  <c r="M4" i="6"/>
  <c r="N4" i="6" s="1"/>
  <c r="M5" i="6"/>
  <c r="N5" i="6" s="1"/>
  <c r="M6" i="6"/>
  <c r="N6" i="6" s="1"/>
  <c r="M2" i="6"/>
  <c r="N2" i="6" s="1"/>
  <c r="H3" i="7"/>
  <c r="H4" i="7"/>
  <c r="H5" i="7"/>
  <c r="H6" i="7"/>
  <c r="H2" i="7"/>
  <c r="E15" i="7"/>
  <c r="E14" i="7"/>
  <c r="G3" i="7"/>
  <c r="G4" i="7"/>
  <c r="G5" i="7"/>
  <c r="G6" i="7"/>
  <c r="G2" i="7"/>
  <c r="J18" i="7"/>
  <c r="K10" i="7"/>
  <c r="K11" i="7"/>
  <c r="K12" i="7"/>
  <c r="K13" i="7"/>
  <c r="K9" i="7"/>
  <c r="I19" i="6"/>
  <c r="E19" i="6"/>
  <c r="F19" i="6" s="1"/>
  <c r="C19" i="6"/>
  <c r="B19" i="6"/>
  <c r="I21" i="6"/>
  <c r="E21" i="6"/>
  <c r="F21" i="6" s="1"/>
  <c r="C21" i="6"/>
  <c r="B21" i="6"/>
  <c r="J23" i="6" s="1"/>
  <c r="I23" i="6"/>
  <c r="E23" i="6"/>
  <c r="F23" i="6" s="1"/>
  <c r="C23" i="6"/>
  <c r="B23" i="6"/>
  <c r="I22" i="6"/>
  <c r="E22" i="6"/>
  <c r="F22" i="6" s="1"/>
  <c r="C22" i="6"/>
  <c r="B22" i="6"/>
  <c r="I20" i="6"/>
  <c r="E20" i="6"/>
  <c r="F20" i="6" s="1"/>
  <c r="C20" i="6"/>
  <c r="B20" i="6"/>
  <c r="J20" i="6" s="1"/>
  <c r="I18" i="6"/>
  <c r="E18" i="6"/>
  <c r="F18" i="6" s="1"/>
  <c r="C18" i="6"/>
  <c r="B18" i="6"/>
  <c r="K2" i="6"/>
  <c r="K3" i="6"/>
  <c r="K4" i="6"/>
  <c r="K5" i="6"/>
  <c r="K6" i="6"/>
  <c r="J6" i="6"/>
  <c r="I3" i="6"/>
  <c r="I4" i="6"/>
  <c r="I5" i="6"/>
  <c r="I6" i="6"/>
  <c r="I2" i="6"/>
  <c r="T11" i="6" s="1"/>
  <c r="E2" i="6"/>
  <c r="F2" i="6" s="1"/>
  <c r="E3" i="6"/>
  <c r="L3" i="6" s="1"/>
  <c r="E4" i="6"/>
  <c r="L4" i="6" s="1"/>
  <c r="E5" i="6"/>
  <c r="F5" i="6" s="1"/>
  <c r="E6" i="6"/>
  <c r="L6" i="6" s="1"/>
  <c r="C3" i="6"/>
  <c r="O3" i="6" s="1"/>
  <c r="C4" i="6"/>
  <c r="O4" i="6" s="1"/>
  <c r="C5" i="6"/>
  <c r="C6" i="6"/>
  <c r="O6" i="6" s="1"/>
  <c r="C2" i="6"/>
  <c r="B3" i="6"/>
  <c r="J3" i="6" s="1"/>
  <c r="B4" i="6"/>
  <c r="J4" i="6" s="1"/>
  <c r="B5" i="6"/>
  <c r="B6" i="6"/>
  <c r="J5" i="6" s="1"/>
  <c r="B2" i="6"/>
  <c r="J2" i="6" s="1"/>
  <c r="J32" i="5"/>
  <c r="D2" i="6" l="1"/>
  <c r="D5" i="6"/>
  <c r="B14" i="6"/>
  <c r="D6" i="6"/>
  <c r="G5" i="6"/>
  <c r="H5" i="6" s="1"/>
  <c r="O5" i="6"/>
  <c r="O11" i="7"/>
  <c r="N11" i="7" s="1"/>
  <c r="D23" i="6"/>
  <c r="G23" i="6" s="1"/>
  <c r="H23" i="6" s="1"/>
  <c r="D4" i="6"/>
  <c r="F6" i="6"/>
  <c r="G6" i="6" s="1"/>
  <c r="H6" i="6" s="1"/>
  <c r="F4" i="6"/>
  <c r="G4" i="6" s="1"/>
  <c r="H4" i="6" s="1"/>
  <c r="B13" i="6" s="1"/>
  <c r="F3" i="6"/>
  <c r="D3" i="6"/>
  <c r="D19" i="6"/>
  <c r="L2" i="6"/>
  <c r="G2" i="6"/>
  <c r="H2" i="6" s="1"/>
  <c r="L5" i="6"/>
  <c r="J21" i="6"/>
  <c r="D18" i="6"/>
  <c r="G19" i="6"/>
  <c r="H19" i="6" s="1"/>
  <c r="J22" i="6"/>
  <c r="J19" i="6"/>
  <c r="G18" i="6"/>
  <c r="H18" i="6" s="1"/>
  <c r="D21" i="6"/>
  <c r="G21" i="6" s="1"/>
  <c r="H21" i="6" s="1"/>
  <c r="J18" i="6"/>
  <c r="D20" i="6"/>
  <c r="G20" i="6" s="1"/>
  <c r="H20" i="6" s="1"/>
  <c r="D22" i="6"/>
  <c r="G22" i="6" s="1"/>
  <c r="H22" i="6" s="1"/>
  <c r="T5" i="6" l="1"/>
  <c r="G3" i="6"/>
  <c r="H3" i="6" s="1"/>
  <c r="B12" i="6" s="1"/>
  <c r="B11" i="6"/>
  <c r="T4" i="6" l="1"/>
  <c r="T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2258FC-0201-40DB-9AC6-BE122D93EF5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72E9F8DD-3016-4FEF-A100-41938A67182D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<sst xmlns="http://schemas.openxmlformats.org/spreadsheetml/2006/main" count="231" uniqueCount="102">
  <si>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</si>
  <si>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</si>
  <si>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</si>
  <si>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</si>
  <si>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</si>
  <si>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</si>
  <si>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</si>
  <si>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</si>
  <si>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</si>
  <si>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</si>
  <si>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</si>
  <si>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</si>
  <si>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</si>
  <si>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</si>
  <si>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</si>
  <si>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</si>
  <si>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</si>
  <si>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</si>
  <si>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</si>
  <si>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</si>
  <si>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</si>
  <si>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</si>
  <si>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</si>
  <si>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</si>
  <si>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</si>
  <si>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</si>
  <si>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</si>
  <si>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</si>
  <si>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</si>
  <si>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</si>
  <si>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</si>
  <si>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</si>
  <si>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</si>
  <si>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</si>
  <si>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</si>
  <si>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</si>
  <si>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</si>
  <si>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</si>
  <si>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</si>
  <si>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</si>
  <si>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</si>
  <si>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</si>
  <si>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</si>
  <si>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</si>
  <si>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</si>
  <si>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</si>
  <si>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</si>
  <si>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</si>
  <si>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</si>
  <si>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</si>
  <si>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</si>
  <si>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</si>
  <si>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</si>
  <si>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</si>
  <si>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</si>
  <si>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</si>
  <si>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</si>
  <si>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</si>
  <si>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</si>
  <si>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</si>
  <si>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</si>
  <si>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</si>
  <si>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</si>
  <si>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</si>
  <si>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</si>
  <si>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</si>
  <si>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</si>
  <si>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</si>
  <si>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</si>
  <si>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</si>
  <si>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</si>
  <si>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MS Excel Practical Exam</t>
  </si>
  <si>
    <t>Total Salse</t>
  </si>
  <si>
    <t>GST Amount</t>
  </si>
  <si>
    <t>Final Amount</t>
  </si>
  <si>
    <t>Total Final Amount</t>
  </si>
  <si>
    <t>Number of Orders</t>
  </si>
  <si>
    <t xml:space="preserve">Total </t>
  </si>
  <si>
    <t>Quantity_c</t>
  </si>
  <si>
    <t>Min Final Amount</t>
  </si>
  <si>
    <t>Max Final Amount</t>
  </si>
  <si>
    <t>Month</t>
  </si>
  <si>
    <t>Names</t>
  </si>
  <si>
    <t xml:space="preserve"> </t>
  </si>
  <si>
    <t>Topper</t>
  </si>
  <si>
    <t>Mark</t>
  </si>
  <si>
    <t>Marks</t>
  </si>
  <si>
    <t>Students whose attendance is over 90</t>
  </si>
  <si>
    <t>Classify</t>
  </si>
  <si>
    <t>Low</t>
  </si>
  <si>
    <t>High</t>
  </si>
  <si>
    <t>Row Labels</t>
  </si>
  <si>
    <t>Grand Total</t>
  </si>
  <si>
    <t>Sum of Total Salse</t>
  </si>
  <si>
    <t>Sum of Marks</t>
  </si>
  <si>
    <t>Median of stats</t>
  </si>
  <si>
    <t>Std of excel</t>
  </si>
  <si>
    <t>Combine</t>
  </si>
  <si>
    <t>Get Name</t>
  </si>
  <si>
    <t>Number of laptops order in north</t>
  </si>
  <si>
    <t>New Unit Price</t>
  </si>
  <si>
    <t>Product2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</si>
</sst>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[arth.xlsx]Pivot Table!PivotTable1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Table'!$B$10:$B$13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Table'!$C$10:$C$13</c:f>
              <c:numCache>
                <c:formatCode>General</c:formatCode>
                <c:ptCount val="3"/>
                <c:pt idx="0">
                  <c:v>225000</c:v>
                </c:pt>
                <c:pt idx="1">
                  <c:v>135000</c:v>
                </c:pt>
                <c:pt idx="2">
                  <c:v>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6-470B-89DE-BAE8B49BF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315215"/>
        <c:axId val="140314383"/>
      </c:barChart>
      <c:catAx>
        <c:axId val="14031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14383"/>
        <c:crosses val="autoZero"/>
        <c:auto val="1"/>
        <c:lblAlgn val="ctr"/>
        <c:lblOffset val="100"/>
        <c:noMultiLvlLbl val="0"/>
      </c:catAx>
      <c:valAx>
        <c:axId val="14031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1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[arth.xlsx]Pivot Table!PivotTable7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Table'!$L$8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Table'!$K$9:$K$14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'Pivot Table'!$L$9:$L$14</c:f>
              <c:numCache>
                <c:formatCode>General</c:formatCode>
                <c:ptCount val="5"/>
                <c:pt idx="0">
                  <c:v>69</c:v>
                </c:pt>
                <c:pt idx="1">
                  <c:v>91.666666666666671</c:v>
                </c:pt>
                <c:pt idx="2">
                  <c:v>81.666666666666671</c:v>
                </c:pt>
                <c:pt idx="3">
                  <c:v>89.666666666666671</c:v>
                </c:pt>
                <c:pt idx="4">
                  <c:v>57.666666666666664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AE-4AE2-85A4-AFF423893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9130783"/>
        <c:axId val="1059129951"/>
      </c:barChart>
      <c:catAx>
        <c:axId val="1059130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129951"/>
        <c:crosses val="autoZero"/>
        <c:auto val="1"/>
        <c:lblAlgn val="ctr"/>
        <c:lblOffset val="100"/>
        <c:noMultiLvlLbl val="0"/>
      </c:catAx>
      <c:valAx>
        <c:axId val="1059129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13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9</xdr:col>
      <xdr:colOff>304800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0402A4-F389-4AC8-87C5-BB7164A7D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5</xdr:row>
      <xdr:rowOff>0</xdr:rowOff>
    </xdr:from>
    <xdr:to>
      <xdr:col>19</xdr:col>
      <xdr:colOff>304800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46A2D2-805A-45E1-A8B8-6BC67A664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36" refreshedDate="46133.707086458337" createdVersion="8" refreshedVersion="8" minRefreshableVersion="3" recordCount="6" xr:uid="{591528FD-A66C-4D98-9E40-1CD300CB7CF1}">
  <cacheSource type="worksheet">
    <worksheetSource name="Table1_2"/>
  </cacheSource>
  <cacheFields count="10">
    <cacheField name="Order_ID" numFmtId="0">
      <sharedItems containsSemiMixedTypes="0" containsString="0" containsNumber="1" containsInteger="1" minValue="301" maxValue="306"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Total Salse" numFmtId="0">
      <sharedItems containsSemiMixedTypes="0" containsString="0" containsNumber="1" containsInteger="1" minValue="45000" maxValue="90000" count="5">
        <n v="90000"/>
        <n v="75000"/>
        <n v="60000"/>
        <n v="54000"/>
        <n v="45000"/>
      </sharedItems>
    </cacheField>
    <cacheField name="Product" numFmtId="0">
      <sharedItems count="3">
        <s v="Laptop"/>
        <s v="Mobile"/>
        <s v="Tablet"/>
      </sharedItems>
    </cacheField>
    <cacheField name="GST_%" numFmtId="0">
      <sharedItems containsSemiMixedTypes="0" containsString="0" containsNumber="1" containsInteger="1" minValue="12" maxValue="18"/>
    </cacheField>
    <cacheField name="GST Amount" numFmtId="0">
      <sharedItems containsSemiMixedTypes="0" containsString="0" containsNumber="1" containsInteger="1" minValue="6480" maxValue="16200"/>
    </cacheField>
    <cacheField name="Final Amount" numFmtId="0">
      <sharedItems containsSemiMixedTypes="0" containsString="0" containsNumber="1" containsInteger="1" minValue="53100" maxValue="106200"/>
    </cacheField>
    <cacheField name="Region" numFmtId="0">
      <sharedItems count="4">
        <s v="North"/>
        <s v="South"/>
        <s v="East"/>
        <s v="West"/>
      </sharedItems>
    </cacheField>
    <cacheField name="Quantity_c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36" refreshedDate="46133.714168287035" createdVersion="8" refreshedVersion="8" minRefreshableVersion="3" recordCount="5" xr:uid="{98766FBB-D72C-4491-AED9-7C3232C0A3D6}">
  <cacheSource type="worksheet">
    <worksheetSource ref="J8:K13" sheet="Answer-2"/>
  </cacheSource>
  <cacheFields count="2">
    <cacheField name="Names" numFmtId="0">
      <sharedItems count="5">
        <s v="Rahul"/>
        <s v="Sneha"/>
        <s v="Arjun"/>
        <s v="Pooja"/>
        <s v="Vikas"/>
      </sharedItems>
    </cacheField>
    <cacheField name="Marks" numFmtId="2">
      <sharedItems containsSemiMixedTypes="0" containsString="0" containsNumber="1" minValue="57.666666666666664" maxValue="91.6666666666666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n v="2"/>
    <n v="45000"/>
    <x v="0"/>
    <x v="0"/>
    <n v="18"/>
    <n v="16200"/>
    <n v="106200"/>
    <x v="0"/>
    <s v="Low"/>
  </r>
  <r>
    <n v="306"/>
    <n v="2"/>
    <n v="45000"/>
    <x v="0"/>
    <x v="0"/>
    <n v="18"/>
    <n v="16200"/>
    <n v="106200"/>
    <x v="1"/>
    <s v="Low"/>
  </r>
  <r>
    <n v="302"/>
    <n v="5"/>
    <n v="15000"/>
    <x v="1"/>
    <x v="1"/>
    <n v="12"/>
    <n v="9000"/>
    <n v="84000"/>
    <x v="1"/>
    <s v="Low"/>
  </r>
  <r>
    <n v="305"/>
    <n v="4"/>
    <n v="15000"/>
    <x v="2"/>
    <x v="1"/>
    <n v="12"/>
    <n v="7200"/>
    <n v="67200"/>
    <x v="0"/>
    <s v="Low"/>
  </r>
  <r>
    <n v="303"/>
    <n v="3"/>
    <n v="18000"/>
    <x v="3"/>
    <x v="2"/>
    <n v="12"/>
    <n v="6480"/>
    <n v="60480"/>
    <x v="2"/>
    <s v="High"/>
  </r>
  <r>
    <n v="304"/>
    <n v="1"/>
    <n v="45000"/>
    <x v="4"/>
    <x v="0"/>
    <n v="18"/>
    <n v="8100"/>
    <n v="53100"/>
    <x v="3"/>
    <s v="High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81.666666666666671"/>
  </r>
  <r>
    <x v="1"/>
    <n v="89.666666666666671"/>
  </r>
  <r>
    <x v="2"/>
    <n v="69"/>
  </r>
  <r>
    <x v="3"/>
    <n v="91.666666666666671"/>
  </r>
  <r>
    <x v="4"/>
    <n v="57.6666666666666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584DC-D362-4D0A-BA3A-6D3929D4E071}" name="PivotTable7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K8:L14" firstHeaderRow="1" firstDataRow="1" firstDataCol="1"/>
  <pivotFields count="2">
    <pivotField axis="axisRow" showAll="0">
      <items count="6">
        <item x="2"/>
        <item x="3"/>
        <item x="0"/>
        <item x="1"/>
        <item x="4"/>
        <item t="default"/>
      </items>
    </pivotField>
    <pivotField dataField="1" numFmtId="2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Marks" fld="1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FBD57-86C2-448D-BA85-B38C5580FDCB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6:G20" firstHeaderRow="1" firstDataRow="1" firstDataCol="1"/>
  <pivotFields count="10">
    <pivotField showAll="0"/>
    <pivotField showAll="0"/>
    <pivotField showAll="0"/>
    <pivotField dataField="1" showAll="0">
      <items count="6">
        <item x="4"/>
        <item x="3"/>
        <item x="2"/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s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1FA6CC-E375-4A2E-8B51-42FE25A9951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6:C21" firstHeaderRow="1" firstDataRow="1" firstDataCol="1"/>
  <pivotFields count="10">
    <pivotField showAll="0"/>
    <pivotField showAll="0"/>
    <pivotField showAll="0"/>
    <pivotField dataField="1" showAll="0">
      <items count="6">
        <item x="4"/>
        <item x="3"/>
        <item x="2"/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s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06E96-6739-4DD3-B500-9BD358CE175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9:C13" firstHeaderRow="1" firstDataRow="1" firstDataCol="1"/>
  <pivotFields count="10">
    <pivotField showAll="0"/>
    <pivotField showAll="0"/>
    <pivotField showAll="0"/>
    <pivotField dataField="1" showAll="0">
      <items count="6">
        <item x="4"/>
        <item x="3"/>
        <item x="2"/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se" fld="3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03A550-645E-4779-9A51-3524B89ED888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Quantity" tableColumnId="2"/>
      <queryTableField id="3" name="Unit_Price" tableColumnId="3"/>
      <queryTableField id="4" name="Total Salse" tableColumnId="4"/>
      <queryTableField id="5" name="Product" tableColumnId="5"/>
      <queryTableField id="6" name="GST_%" tableColumnId="6"/>
      <queryTableField id="7" name="GST Amount" tableColumnId="7"/>
      <queryTableField id="8" name="Final Amount" tableColumnId="8"/>
      <queryTableField id="9" name="Region" tableColumnId="9"/>
      <queryTableField id="10" name="Quantity_c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FD10137-1C68-4476-B7AB-E545D20E1D14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Quantity" tableColumnId="2"/>
      <queryTableField id="3" name="Unit_Price" tableColumnId="3"/>
      <queryTableField id="4" name="Total Salse" tableColumnId="4"/>
      <queryTableField id="5" name="Product" tableColumnId="5"/>
      <queryTableField id="6" name="GST_%" tableColumnId="6"/>
      <queryTableField id="7" name="GST Amount" tableColumnId="7"/>
      <queryTableField id="8" name="Final Amount" tableColumnId="8"/>
      <queryTableField id="9" name="Region" tableColumnId="9"/>
      <queryTableField id="10" name="Quantity_c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00324B-A7C4-4AD3-A15D-454F557B739D}" name="Table1_2" displayName="Table1_2" ref="A1:J7" tableType="queryTable" totalsRowShown="0">
  <autoFilter ref="A1:J7" xr:uid="{8300324B-A7C4-4AD3-A15D-454F557B739D}"/>
  <tableColumns count="10">
    <tableColumn id="1" xr3:uid="{DF657923-1EF5-4E52-A077-B86114115C93}" uniqueName="1" name="Order_ID" queryTableFieldId="1"/>
    <tableColumn id="2" xr3:uid="{39682AC3-1AAF-4A9A-8E3B-20137226BA1D}" uniqueName="2" name="Quantity" queryTableFieldId="2"/>
    <tableColumn id="3" xr3:uid="{6467EA98-809F-41B6-89CA-46414E41DBC3}" uniqueName="3" name="Unit_Price" queryTableFieldId="3"/>
    <tableColumn id="4" xr3:uid="{707B728F-5E8C-4DC5-B561-0ED7D1F65FC0}" uniqueName="4" name="Total Salse" queryTableFieldId="4"/>
    <tableColumn id="5" xr3:uid="{C7DFCEF3-9066-41B0-807B-3BB002073403}" uniqueName="5" name="Product" queryTableFieldId="5" dataDxfId="7"/>
    <tableColumn id="6" xr3:uid="{FC1C49A9-02EE-4F13-B8F2-C91317E46F31}" uniqueName="6" name="GST_%" queryTableFieldId="6"/>
    <tableColumn id="7" xr3:uid="{C59EE0E9-9E91-4D7F-B512-E26B99C96E5E}" uniqueName="7" name="GST Amount" queryTableFieldId="7"/>
    <tableColumn id="8" xr3:uid="{88EEE97C-2E2B-4910-AF6B-96BBB5A5024C}" uniqueName="8" name="Final Amount" queryTableFieldId="8"/>
    <tableColumn id="9" xr3:uid="{C5DEEB29-2C5A-4997-AD65-CE825E49C4E4}" uniqueName="9" name="Region" queryTableFieldId="9" dataDxfId="6"/>
    <tableColumn id="10" xr3:uid="{B58739AE-03AC-4329-A7B2-2B168EC7E76D}" uniqueName="10" name="Quantity_c" queryTableFieldId="10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B713FC-1E57-4C2B-94B4-8197E441B340}" name="Table1_24" displayName="Table1_24" ref="A13:J19" tableType="queryTable" totalsRowShown="0">
  <autoFilter ref="A13:J19" xr:uid="{B2B713FC-1E57-4C2B-94B4-8197E441B340}">
    <filterColumn colId="1">
      <customFilters>
        <customFilter operator="greaterThan" val="1"/>
      </customFilters>
    </filterColumn>
    <filterColumn colId="4">
      <filters>
        <filter val="Laptop"/>
      </filters>
    </filterColumn>
  </autoFilter>
  <tableColumns count="10">
    <tableColumn id="1" xr3:uid="{6B745FF7-E40D-40B4-8A45-33912D385491}" uniqueName="1" name="Order_ID" queryTableFieldId="1"/>
    <tableColumn id="2" xr3:uid="{1B823679-16A6-457A-9038-06B9E1D91A10}" uniqueName="2" name="Quantity" queryTableFieldId="2"/>
    <tableColumn id="3" xr3:uid="{DE85CE49-17B2-44CA-BB46-E6B19EC17B13}" uniqueName="3" name="Unit_Price" queryTableFieldId="3"/>
    <tableColumn id="4" xr3:uid="{8372D839-6034-4EEC-B800-8744E9643957}" uniqueName="4" name="Total Salse" queryTableFieldId="4"/>
    <tableColumn id="5" xr3:uid="{7C266FD6-79DD-427F-B610-B3B3EC3DF3B1}" uniqueName="5" name="Product" queryTableFieldId="5" dataDxfId="4"/>
    <tableColumn id="6" xr3:uid="{9BE418AF-0216-4455-A572-9F375163EDFB}" uniqueName="6" name="GST_%" queryTableFieldId="6"/>
    <tableColumn id="7" xr3:uid="{6251085E-E751-4095-AF37-E9B3445E6FF0}" uniqueName="7" name="GST Amount" queryTableFieldId="7"/>
    <tableColumn id="8" xr3:uid="{3F82701D-5390-4A7D-AF48-FB43B15373D3}" uniqueName="8" name="Final Amount" queryTableFieldId="8"/>
    <tableColumn id="9" xr3:uid="{E4F313C4-583F-4DDC-9FD2-343FD4FB1BA9}" uniqueName="9" name="Region" queryTableFieldId="9" dataDxfId="3"/>
    <tableColumn id="10" xr3:uid="{394AC01E-8061-4415-80BC-8107DE75E3A7}" uniqueName="10" name="Quantity_c" queryTableFieldId="10" dataDxfId="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C6D343-0569-48AE-8D12-5F9A973CF0A7}" name="Table1" displayName="Table1" ref="A17:J23" totalsRowShown="0">
  <autoFilter ref="A17:J23" xr:uid="{9EC6D343-0569-48AE-8D12-5F9A973CF0A7}"/>
  <sortState xmlns:xlrd2="http://schemas.microsoft.com/office/spreadsheetml/2017/richdata2" ref="A18:J23">
    <sortCondition descending="1" ref="H17:H23"/>
  </sortState>
  <tableColumns count="10">
    <tableColumn id="1" xr3:uid="{29FA24AB-9FFE-4A53-AEC8-023D3001C1F4}" name="Order_ID"/>
    <tableColumn id="2" xr3:uid="{C0E00109-427C-4044-90B9-057368F6F19E}" name="Quantity">
      <calculatedColumnFormula>VLOOKUP(A18,Sales_Data!$A$1:$G$7,5,0)</calculatedColumnFormula>
    </tableColumn>
    <tableColumn id="3" xr3:uid="{D395E244-6B0A-4E4B-8028-1C15635F78DE}" name="Unit_Price">
      <calculatedColumnFormula>VLOOKUP(A18,Sales_Data!$A$1:$G$7,6,0)</calculatedColumnFormula>
    </tableColumn>
    <tableColumn id="4" xr3:uid="{FFEAF62E-8770-405A-9555-C37077F215FA}" name="Total Salse">
      <calculatedColumnFormula>B18*C18</calculatedColumnFormula>
    </tableColumn>
    <tableColumn id="5" xr3:uid="{5D4F4DA2-6AB9-4D19-82D5-330FA3EA9190}" name="Product">
      <calculatedColumnFormula>VLOOKUP(A18,Sales_Data!$A$1:$G$7,4,0)</calculatedColumnFormula>
    </tableColumn>
    <tableColumn id="6" xr3:uid="{0672D88C-48ED-45FF-892F-2C65F0DF33DA}" name="GST_%">
      <calculatedColumnFormula>VLOOKUP(E18,Product_Master!$A$1:$C$4,3,0)</calculatedColumnFormula>
    </tableColumn>
    <tableColumn id="7" xr3:uid="{1DE74F76-2817-4E44-BF99-B38A749E5772}" name="GST Amount">
      <calculatedColumnFormula>F18*D18/100</calculatedColumnFormula>
    </tableColumn>
    <tableColumn id="8" xr3:uid="{28133392-EF1C-4826-8F46-CFCCBF8D327F}" name="Final Amount">
      <calculatedColumnFormula>G18+D18</calculatedColumnFormula>
    </tableColumn>
    <tableColumn id="9" xr3:uid="{0178CACA-846D-41BB-85B4-DFBF69A7A69F}" name="Region">
      <calculatedColumnFormula>VLOOKUP(A18,Sales_Data!$A$1:$G$7,2,0)</calculatedColumnFormula>
    </tableColumn>
    <tableColumn id="10" xr3:uid="{766FDC8A-8E97-4405-93DC-A26D9CB6EE75}" name="Quantity_c">
      <calculatedColumnFormula>IF(Answer!B18&gt;3,"High","Low")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1A41E5-6D8B-4AEE-9E28-0EE7D65E7B35}" name="Table4" displayName="Table4" ref="A1:O6" totalsRowShown="0">
  <autoFilter ref="A1:O6" xr:uid="{371A41E5-6D8B-4AEE-9E28-0EE7D65E7B35}"/>
  <tableColumns count="15">
    <tableColumn id="1" xr3:uid="{4EDAF463-96C9-426C-A5D7-554A32E5FEF3}" name="Order_ID"/>
    <tableColumn id="2" xr3:uid="{BFB40715-429A-438D-823F-6B9876A1A593}" name="Quantity">
      <calculatedColumnFormula>VLOOKUP(A2,Sales_Data!$A$1:$G$7,5,0)</calculatedColumnFormula>
    </tableColumn>
    <tableColumn id="3" xr3:uid="{3198F10F-A5B0-45DE-970E-3B082788CDD5}" name="Unit_Price">
      <calculatedColumnFormula>VLOOKUP(A2,Sales_Data!$A$1:$G$7,6,0)</calculatedColumnFormula>
    </tableColumn>
    <tableColumn id="4" xr3:uid="{2787A77F-9113-4130-A77E-5DCE9059E14C}" name="Total Salse">
      <calculatedColumnFormula>B2*C2</calculatedColumnFormula>
    </tableColumn>
    <tableColumn id="5" xr3:uid="{F4DF82DB-7A1B-442B-8CA5-88D72AC0E35E}" name="Product">
      <calculatedColumnFormula>VLOOKUP(A2,Sales_Data!$A$1:$G$7,4,0)</calculatedColumnFormula>
    </tableColumn>
    <tableColumn id="6" xr3:uid="{DD362113-8263-4E12-BC28-43BDD2E55F10}" name="GST_%">
      <calculatedColumnFormula>VLOOKUP(E2,Product_Master!$A$1:$C$4,3,0)</calculatedColumnFormula>
    </tableColumn>
    <tableColumn id="7" xr3:uid="{7AB952BC-7492-4F28-9226-C1BE20094B6C}" name="GST Amount">
      <calculatedColumnFormula>F2*D2/100</calculatedColumnFormula>
    </tableColumn>
    <tableColumn id="8" xr3:uid="{7855D312-CF5E-443E-9B87-96AE0D9DC631}" name="Final Amount">
      <calculatedColumnFormula>G2+D2</calculatedColumnFormula>
    </tableColumn>
    <tableColumn id="9" xr3:uid="{F94F6C5C-C59D-483D-9DED-89392EAA394C}" name="Region">
      <calculatedColumnFormula>VLOOKUP(A2,Sales_Data!$A$1:$G$7,2,0)</calculatedColumnFormula>
    </tableColumn>
    <tableColumn id="10" xr3:uid="{F348D007-01C6-4580-8898-4236EE87F2A4}" name="Quantity_c">
      <calculatedColumnFormula>IF(Answer!B2&gt;3,"High","Low")</calculatedColumnFormula>
    </tableColumn>
    <tableColumn id="11" xr3:uid="{8185B507-EDD3-4B7B-9F27-2C6E8FAED562}" name="Month" dataDxfId="0">
      <calculatedColumnFormula>TRIM(Sales_Data!G2:G7)</calculatedColumnFormula>
    </tableColumn>
    <tableColumn id="12" xr3:uid="{CFFD7DD9-69ED-425D-B0C3-70DAA01BCD3E}" name="Product2">
      <calculatedColumnFormula>INDEX(Product_Master!$A$1:$C$4,MATCH(E2,Product_Master!$A$1:$A$4,0),1)</calculatedColumnFormula>
    </tableColumn>
    <tableColumn id="13" xr3:uid="{D161BA04-1886-4FDA-A3D3-9EEDC5E6A72D}" name="Name">
      <calculatedColumnFormula>VLOOKUP(A2,Sales_Data!$A$1:$G$7,3,0)</calculatedColumnFormula>
    </tableColumn>
    <tableColumn id="14" xr3:uid="{CD627C44-7A91-4251-881C-C00616894FD2}" name="Get Name">
      <calculatedColumnFormula>LEFT(M2,2)</calculatedColumnFormula>
    </tableColumn>
    <tableColumn id="15" xr3:uid="{4B9A6856-400A-4391-A4D9-2C85BCA6DB9A}" name="New Unit Price">
      <calculatedColumnFormula>ROUND(C2,2)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5" x14ac:dyDescent="0.25"/>
  <sheetData>
    <row r="1" spans="1:1" x14ac:dyDescent="0.25">
      <c r="A1" t="s">
        <v>71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pane ySplit="1" topLeftCell="A2" activePane="bottomLeft" state="frozen"/>
      <selection pane="bottomLeft" sqref="A1:XFD1"/>
    </sheetView>
  </sheetViews>
  <sheetFormatPr defaultRowHeight="15" x14ac:dyDescent="0.25"/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</row>
    <row r="3" spans="1:7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</row>
    <row r="4" spans="1:7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</row>
    <row r="5" spans="1:7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</row>
    <row r="6" spans="1:7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</row>
    <row r="7" spans="1:7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" sqref="C1"/>
    </sheetView>
  </sheetViews>
  <sheetFormatPr defaultRowHeight="15" x14ac:dyDescent="0.25"/>
  <cols>
    <col min="1" max="1" width="11.7109375" customWidth="1"/>
    <col min="2" max="2" width="12.5703125" customWidth="1"/>
  </cols>
  <sheetData>
    <row r="1" spans="1:3" x14ac:dyDescent="0.25">
      <c r="A1" t="s">
        <v>7</v>
      </c>
      <c r="B1" t="s">
        <v>28</v>
      </c>
      <c r="C1" t="s">
        <v>29</v>
      </c>
    </row>
    <row r="2" spans="1:3" x14ac:dyDescent="0.25">
      <c r="A2" t="s">
        <v>13</v>
      </c>
      <c r="B2" t="s">
        <v>30</v>
      </c>
      <c r="C2">
        <v>18</v>
      </c>
    </row>
    <row r="3" spans="1:3" x14ac:dyDescent="0.25">
      <c r="A3" t="s">
        <v>17</v>
      </c>
      <c r="B3" t="s">
        <v>30</v>
      </c>
      <c r="C3">
        <v>12</v>
      </c>
    </row>
    <row r="4" spans="1:3" x14ac:dyDescent="0.25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sqref="A1:F6"/>
    </sheetView>
  </sheetViews>
  <sheetFormatPr defaultRowHeight="15" x14ac:dyDescent="0.2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2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2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2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2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2"/>
  <sheetViews>
    <sheetView workbookViewId="0">
      <selection activeCell="A30" sqref="A30"/>
    </sheetView>
  </sheetViews>
  <sheetFormatPr defaultRowHeight="15" x14ac:dyDescent="0.25"/>
  <sheetData>
    <row r="1" spans="1:10" x14ac:dyDescent="0.25">
      <c r="A1" t="s">
        <v>42</v>
      </c>
      <c r="J1">
        <v>2</v>
      </c>
    </row>
    <row r="2" spans="1:10" x14ac:dyDescent="0.25">
      <c r="A2" t="s">
        <v>43</v>
      </c>
      <c r="J2">
        <v>2</v>
      </c>
    </row>
    <row r="3" spans="1:10" x14ac:dyDescent="0.25">
      <c r="A3" t="s">
        <v>44</v>
      </c>
      <c r="J3">
        <v>2</v>
      </c>
    </row>
    <row r="4" spans="1:10" x14ac:dyDescent="0.25">
      <c r="A4" t="s">
        <v>45</v>
      </c>
      <c r="J4">
        <v>2</v>
      </c>
    </row>
    <row r="5" spans="1:10" x14ac:dyDescent="0.25">
      <c r="A5" t="s">
        <v>46</v>
      </c>
      <c r="J5">
        <v>2</v>
      </c>
    </row>
    <row r="6" spans="1:10" x14ac:dyDescent="0.25">
      <c r="A6" t="s">
        <v>47</v>
      </c>
      <c r="J6">
        <v>2</v>
      </c>
    </row>
    <row r="7" spans="1:10" x14ac:dyDescent="0.25">
      <c r="A7" t="s">
        <v>48</v>
      </c>
      <c r="J7">
        <v>2</v>
      </c>
    </row>
    <row r="8" spans="1:10" x14ac:dyDescent="0.25">
      <c r="A8" t="s">
        <v>49</v>
      </c>
      <c r="J8">
        <v>2</v>
      </c>
    </row>
    <row r="9" spans="1:10" x14ac:dyDescent="0.25">
      <c r="A9" t="s">
        <v>50</v>
      </c>
      <c r="J9">
        <v>2</v>
      </c>
    </row>
    <row r="10" spans="1:10" x14ac:dyDescent="0.25">
      <c r="A10" t="s">
        <v>51</v>
      </c>
      <c r="J10">
        <v>2</v>
      </c>
    </row>
    <row r="11" spans="1:10" x14ac:dyDescent="0.25">
      <c r="A11" t="s">
        <v>52</v>
      </c>
      <c r="J11">
        <v>2</v>
      </c>
    </row>
    <row r="12" spans="1:10" x14ac:dyDescent="0.25">
      <c r="A12" t="s">
        <v>53</v>
      </c>
      <c r="J12">
        <v>2</v>
      </c>
    </row>
    <row r="13" spans="1:10" x14ac:dyDescent="0.25">
      <c r="A13" t="s">
        <v>54</v>
      </c>
      <c r="J13">
        <v>2</v>
      </c>
    </row>
    <row r="14" spans="1:10" x14ac:dyDescent="0.25">
      <c r="A14" t="s">
        <v>55</v>
      </c>
      <c r="J14">
        <v>2</v>
      </c>
    </row>
    <row r="15" spans="1:10" x14ac:dyDescent="0.25">
      <c r="A15" t="s">
        <v>56</v>
      </c>
      <c r="J15">
        <v>2</v>
      </c>
    </row>
    <row r="16" spans="1:10" x14ac:dyDescent="0.25">
      <c r="A16" t="s">
        <v>57</v>
      </c>
      <c r="J16">
        <v>2</v>
      </c>
    </row>
    <row r="17" spans="1:15" x14ac:dyDescent="0.25">
      <c r="A17" t="s">
        <v>58</v>
      </c>
      <c r="J17">
        <v>2</v>
      </c>
    </row>
    <row r="18" spans="1:15" x14ac:dyDescent="0.25">
      <c r="A18" t="s">
        <v>59</v>
      </c>
      <c r="J18">
        <v>2</v>
      </c>
    </row>
    <row r="19" spans="1:15" x14ac:dyDescent="0.25">
      <c r="A19" t="s">
        <v>60</v>
      </c>
      <c r="J19">
        <v>2</v>
      </c>
    </row>
    <row r="20" spans="1:15" x14ac:dyDescent="0.25">
      <c r="A20" t="s">
        <v>61</v>
      </c>
      <c r="J20">
        <v>2</v>
      </c>
    </row>
    <row r="21" spans="1:15" x14ac:dyDescent="0.25">
      <c r="A21" t="s">
        <v>62</v>
      </c>
      <c r="J21">
        <v>2</v>
      </c>
    </row>
    <row r="22" spans="1:15" x14ac:dyDescent="0.25">
      <c r="A22" t="s">
        <v>63</v>
      </c>
      <c r="J22">
        <v>2</v>
      </c>
    </row>
    <row r="23" spans="1:15" x14ac:dyDescent="0.25">
      <c r="A23" t="s">
        <v>64</v>
      </c>
      <c r="J23">
        <v>2</v>
      </c>
    </row>
    <row r="24" spans="1:15" x14ac:dyDescent="0.25">
      <c r="A24" t="s">
        <v>65</v>
      </c>
      <c r="J24">
        <v>2</v>
      </c>
    </row>
    <row r="25" spans="1:15" x14ac:dyDescent="0.25">
      <c r="A25" t="s">
        <v>66</v>
      </c>
      <c r="J25">
        <v>2</v>
      </c>
    </row>
    <row r="26" spans="1:15" x14ac:dyDescent="0.25">
      <c r="A26" t="s">
        <v>67</v>
      </c>
      <c r="J26">
        <v>2</v>
      </c>
    </row>
    <row r="27" spans="1:15" x14ac:dyDescent="0.25">
      <c r="A27" t="s">
        <v>68</v>
      </c>
      <c r="J27">
        <v>2</v>
      </c>
    </row>
    <row r="28" spans="1:15" x14ac:dyDescent="0.25">
      <c r="A28" t="s">
        <v>69</v>
      </c>
      <c r="J28">
        <v>2</v>
      </c>
    </row>
    <row r="29" spans="1:15" x14ac:dyDescent="0.25">
      <c r="A29" t="s">
        <v>70</v>
      </c>
      <c r="J29">
        <v>2</v>
      </c>
    </row>
    <row r="30" spans="1:15" x14ac:dyDescent="0.25">
      <c r="A30" t="s">
        <v>70</v>
      </c>
      <c r="J30">
        <v>2</v>
      </c>
      <c r="O30" t="s">
        <v>83</v>
      </c>
    </row>
    <row r="32" spans="1:15" x14ac:dyDescent="0.25">
      <c r="J32">
        <f>SUM(J1:J30)</f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EF2A-8933-46F3-A34F-982D0E5D1A14}">
  <dimension ref="A1:J19"/>
  <sheetViews>
    <sheetView workbookViewId="0">
      <selection activeCell="B29" sqref="B29"/>
    </sheetView>
  </sheetViews>
  <sheetFormatPr defaultRowHeight="15" x14ac:dyDescent="0.25"/>
  <cols>
    <col min="1" max="1" width="11.28515625" bestFit="1" customWidth="1"/>
    <col min="2" max="2" width="11" bestFit="1" customWidth="1"/>
    <col min="3" max="3" width="12.5703125" bestFit="1" customWidth="1"/>
    <col min="4" max="4" width="12.7109375" bestFit="1" customWidth="1"/>
    <col min="5" max="5" width="10.140625" bestFit="1" customWidth="1"/>
    <col min="6" max="6" width="9.28515625" bestFit="1" customWidth="1"/>
    <col min="7" max="7" width="14.28515625" bestFit="1" customWidth="1"/>
    <col min="8" max="8" width="15.140625" bestFit="1" customWidth="1"/>
    <col min="9" max="9" width="9.42578125" bestFit="1" customWidth="1"/>
    <col min="10" max="10" width="12.85546875" bestFit="1" customWidth="1"/>
  </cols>
  <sheetData>
    <row r="1" spans="1:10" x14ac:dyDescent="0.25">
      <c r="A1" t="s">
        <v>4</v>
      </c>
      <c r="B1" t="s">
        <v>8</v>
      </c>
      <c r="C1" t="s">
        <v>9</v>
      </c>
      <c r="D1" t="s">
        <v>72</v>
      </c>
      <c r="E1" t="s">
        <v>7</v>
      </c>
      <c r="F1" t="s">
        <v>29</v>
      </c>
      <c r="G1" t="s">
        <v>73</v>
      </c>
      <c r="H1" t="s">
        <v>74</v>
      </c>
      <c r="I1" t="s">
        <v>5</v>
      </c>
      <c r="J1" t="s">
        <v>78</v>
      </c>
    </row>
    <row r="2" spans="1:10" x14ac:dyDescent="0.25">
      <c r="A2">
        <v>301</v>
      </c>
      <c r="B2">
        <v>2</v>
      </c>
      <c r="C2">
        <v>45000</v>
      </c>
      <c r="D2">
        <v>90000</v>
      </c>
      <c r="E2" s="3" t="s">
        <v>13</v>
      </c>
      <c r="F2">
        <v>18</v>
      </c>
      <c r="G2">
        <v>16200</v>
      </c>
      <c r="H2">
        <v>106200</v>
      </c>
      <c r="I2" s="3" t="s">
        <v>11</v>
      </c>
      <c r="J2" s="3" t="s">
        <v>89</v>
      </c>
    </row>
    <row r="3" spans="1:10" x14ac:dyDescent="0.25">
      <c r="A3">
        <v>306</v>
      </c>
      <c r="B3">
        <v>2</v>
      </c>
      <c r="C3">
        <v>45000</v>
      </c>
      <c r="D3">
        <v>90000</v>
      </c>
      <c r="E3" s="3" t="s">
        <v>13</v>
      </c>
      <c r="F3">
        <v>18</v>
      </c>
      <c r="G3">
        <v>16200</v>
      </c>
      <c r="H3">
        <v>106200</v>
      </c>
      <c r="I3" s="3" t="s">
        <v>15</v>
      </c>
      <c r="J3" s="3" t="s">
        <v>89</v>
      </c>
    </row>
    <row r="4" spans="1:10" x14ac:dyDescent="0.25">
      <c r="A4">
        <v>302</v>
      </c>
      <c r="B4">
        <v>5</v>
      </c>
      <c r="C4">
        <v>15000</v>
      </c>
      <c r="D4">
        <v>75000</v>
      </c>
      <c r="E4" s="3" t="s">
        <v>17</v>
      </c>
      <c r="F4">
        <v>12</v>
      </c>
      <c r="G4">
        <v>9000</v>
      </c>
      <c r="H4">
        <v>84000</v>
      </c>
      <c r="I4" s="3" t="s">
        <v>15</v>
      </c>
      <c r="J4" s="3" t="s">
        <v>89</v>
      </c>
    </row>
    <row r="5" spans="1:10" x14ac:dyDescent="0.25">
      <c r="A5">
        <v>305</v>
      </c>
      <c r="B5">
        <v>4</v>
      </c>
      <c r="C5">
        <v>15000</v>
      </c>
      <c r="D5">
        <v>60000</v>
      </c>
      <c r="E5" s="3" t="s">
        <v>17</v>
      </c>
      <c r="F5">
        <v>12</v>
      </c>
      <c r="G5">
        <v>7200</v>
      </c>
      <c r="H5">
        <v>67200</v>
      </c>
      <c r="I5" s="3" t="s">
        <v>11</v>
      </c>
      <c r="J5" s="3" t="s">
        <v>89</v>
      </c>
    </row>
    <row r="6" spans="1:10" x14ac:dyDescent="0.25">
      <c r="A6">
        <v>303</v>
      </c>
      <c r="B6">
        <v>3</v>
      </c>
      <c r="C6">
        <v>18000</v>
      </c>
      <c r="D6">
        <v>54000</v>
      </c>
      <c r="E6" s="3" t="s">
        <v>21</v>
      </c>
      <c r="F6">
        <v>12</v>
      </c>
      <c r="G6">
        <v>6480</v>
      </c>
      <c r="H6">
        <v>60480</v>
      </c>
      <c r="I6" s="3" t="s">
        <v>19</v>
      </c>
      <c r="J6" s="3" t="s">
        <v>90</v>
      </c>
    </row>
    <row r="7" spans="1:10" x14ac:dyDescent="0.25">
      <c r="A7">
        <v>304</v>
      </c>
      <c r="B7">
        <v>1</v>
      </c>
      <c r="C7">
        <v>45000</v>
      </c>
      <c r="D7">
        <v>45000</v>
      </c>
      <c r="E7" s="3" t="s">
        <v>13</v>
      </c>
      <c r="F7">
        <v>18</v>
      </c>
      <c r="G7">
        <v>8100</v>
      </c>
      <c r="H7">
        <v>53100</v>
      </c>
      <c r="I7" s="3" t="s">
        <v>23</v>
      </c>
      <c r="J7" s="3" t="s">
        <v>90</v>
      </c>
    </row>
    <row r="13" spans="1:10" x14ac:dyDescent="0.25">
      <c r="A13" t="s">
        <v>4</v>
      </c>
      <c r="B13" t="s">
        <v>8</v>
      </c>
      <c r="C13" t="s">
        <v>9</v>
      </c>
      <c r="D13" t="s">
        <v>72</v>
      </c>
      <c r="E13" t="s">
        <v>7</v>
      </c>
      <c r="F13" t="s">
        <v>29</v>
      </c>
      <c r="G13" t="s">
        <v>73</v>
      </c>
      <c r="H13" t="s">
        <v>74</v>
      </c>
      <c r="I13" t="s">
        <v>5</v>
      </c>
      <c r="J13" t="s">
        <v>78</v>
      </c>
    </row>
    <row r="14" spans="1:10" x14ac:dyDescent="0.25">
      <c r="A14">
        <v>301</v>
      </c>
      <c r="B14">
        <v>2</v>
      </c>
      <c r="C14">
        <v>45000</v>
      </c>
      <c r="D14">
        <v>90000</v>
      </c>
      <c r="E14" s="3" t="s">
        <v>13</v>
      </c>
      <c r="F14">
        <v>18</v>
      </c>
      <c r="G14">
        <v>16200</v>
      </c>
      <c r="H14">
        <v>106200</v>
      </c>
      <c r="I14" s="3" t="s">
        <v>11</v>
      </c>
      <c r="J14" s="3" t="s">
        <v>89</v>
      </c>
    </row>
    <row r="15" spans="1:10" x14ac:dyDescent="0.25">
      <c r="A15">
        <v>306</v>
      </c>
      <c r="B15">
        <v>2</v>
      </c>
      <c r="C15">
        <v>45000</v>
      </c>
      <c r="D15">
        <v>90000</v>
      </c>
      <c r="E15" s="3" t="s">
        <v>13</v>
      </c>
      <c r="F15">
        <v>18</v>
      </c>
      <c r="G15">
        <v>16200</v>
      </c>
      <c r="H15">
        <v>106200</v>
      </c>
      <c r="I15" s="3" t="s">
        <v>15</v>
      </c>
      <c r="J15" s="3" t="s">
        <v>89</v>
      </c>
    </row>
    <row r="16" spans="1:10" hidden="1" x14ac:dyDescent="0.25">
      <c r="A16">
        <v>302</v>
      </c>
      <c r="B16">
        <v>5</v>
      </c>
      <c r="C16">
        <v>15000</v>
      </c>
      <c r="D16">
        <v>75000</v>
      </c>
      <c r="E16" s="3" t="s">
        <v>17</v>
      </c>
      <c r="F16">
        <v>12</v>
      </c>
      <c r="G16">
        <v>9000</v>
      </c>
      <c r="H16">
        <v>84000</v>
      </c>
      <c r="I16" s="3" t="s">
        <v>15</v>
      </c>
      <c r="J16" s="3" t="s">
        <v>89</v>
      </c>
    </row>
    <row r="17" spans="1:10" hidden="1" x14ac:dyDescent="0.25">
      <c r="A17">
        <v>305</v>
      </c>
      <c r="B17">
        <v>4</v>
      </c>
      <c r="C17">
        <v>15000</v>
      </c>
      <c r="D17">
        <v>60000</v>
      </c>
      <c r="E17" s="3" t="s">
        <v>17</v>
      </c>
      <c r="F17">
        <v>12</v>
      </c>
      <c r="G17">
        <v>7200</v>
      </c>
      <c r="H17">
        <v>67200</v>
      </c>
      <c r="I17" s="3" t="s">
        <v>11</v>
      </c>
      <c r="J17" s="3" t="s">
        <v>89</v>
      </c>
    </row>
    <row r="18" spans="1:10" hidden="1" x14ac:dyDescent="0.25">
      <c r="A18">
        <v>303</v>
      </c>
      <c r="B18">
        <v>3</v>
      </c>
      <c r="C18">
        <v>18000</v>
      </c>
      <c r="D18">
        <v>54000</v>
      </c>
      <c r="E18" s="3" t="s">
        <v>21</v>
      </c>
      <c r="F18">
        <v>12</v>
      </c>
      <c r="G18">
        <v>6480</v>
      </c>
      <c r="H18">
        <v>60480</v>
      </c>
      <c r="I18" s="3" t="s">
        <v>19</v>
      </c>
      <c r="J18" s="3" t="s">
        <v>90</v>
      </c>
    </row>
    <row r="19" spans="1:10" hidden="1" x14ac:dyDescent="0.25">
      <c r="A19">
        <v>304</v>
      </c>
      <c r="B19">
        <v>1</v>
      </c>
      <c r="C19">
        <v>45000</v>
      </c>
      <c r="D19">
        <v>45000</v>
      </c>
      <c r="E19" s="3" t="s">
        <v>13</v>
      </c>
      <c r="F19">
        <v>18</v>
      </c>
      <c r="G19">
        <v>8100</v>
      </c>
      <c r="H19">
        <v>53100</v>
      </c>
      <c r="I19" s="3" t="s">
        <v>23</v>
      </c>
      <c r="J19" s="3" t="s">
        <v>90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6B930-82A3-4D7E-B952-C4E50E303B12}">
  <dimension ref="A1:T23"/>
  <sheetViews>
    <sheetView workbookViewId="0">
      <selection activeCell="E10" sqref="E10"/>
    </sheetView>
  </sheetViews>
  <sheetFormatPr defaultRowHeight="15" x14ac:dyDescent="0.25"/>
  <cols>
    <col min="1" max="1" width="11.140625" customWidth="1"/>
    <col min="2" max="2" width="10.85546875" customWidth="1"/>
    <col min="3" max="3" width="12.42578125" customWidth="1"/>
    <col min="4" max="4" width="12.5703125" customWidth="1"/>
    <col min="5" max="5" width="10" customWidth="1"/>
    <col min="6" max="6" width="9.140625" customWidth="1"/>
    <col min="7" max="7" width="14.140625" customWidth="1"/>
    <col min="8" max="8" width="15" customWidth="1"/>
    <col min="9" max="9" width="9.28515625" customWidth="1"/>
    <col min="10" max="10" width="12.7109375" customWidth="1"/>
    <col min="11" max="11" width="18" bestFit="1" customWidth="1"/>
    <col min="12" max="12" width="11" customWidth="1"/>
    <col min="14" max="14" width="12.140625" customWidth="1"/>
    <col min="15" max="15" width="16.42578125" customWidth="1"/>
    <col min="16" max="16" width="31" bestFit="1" customWidth="1"/>
    <col min="17" max="17" width="8.42578125" bestFit="1" customWidth="1"/>
    <col min="19" max="19" width="31" bestFit="1" customWidth="1"/>
    <col min="20" max="20" width="7" bestFit="1" customWidth="1"/>
  </cols>
  <sheetData>
    <row r="1" spans="1:20" x14ac:dyDescent="0.25">
      <c r="A1" t="s">
        <v>4</v>
      </c>
      <c r="B1" t="s">
        <v>8</v>
      </c>
      <c r="C1" t="s">
        <v>9</v>
      </c>
      <c r="D1" t="s">
        <v>72</v>
      </c>
      <c r="E1" t="s">
        <v>7</v>
      </c>
      <c r="F1" t="s">
        <v>29</v>
      </c>
      <c r="G1" t="s">
        <v>73</v>
      </c>
      <c r="H1" t="s">
        <v>74</v>
      </c>
      <c r="I1" t="s">
        <v>5</v>
      </c>
      <c r="J1" t="s">
        <v>78</v>
      </c>
      <c r="K1" t="s">
        <v>81</v>
      </c>
      <c r="L1" t="s">
        <v>101</v>
      </c>
      <c r="M1" t="s">
        <v>32</v>
      </c>
      <c r="N1" t="s">
        <v>98</v>
      </c>
      <c r="O1" t="s">
        <v>100</v>
      </c>
    </row>
    <row r="2" spans="1:20" x14ac:dyDescent="0.25">
      <c r="A2">
        <v>301</v>
      </c>
      <c r="B2">
        <f>VLOOKUP(A2,Sales_Data!$A$1:$G$7,5,0)</f>
        <v>2</v>
      </c>
      <c r="C2">
        <f>VLOOKUP(A2,Sales_Data!$A$1:$G$7,6,0)</f>
        <v>45000</v>
      </c>
      <c r="D2">
        <f>B2*C2</f>
        <v>90000</v>
      </c>
      <c r="E2" t="str">
        <f>VLOOKUP(A2,Sales_Data!$A$1:$G$7,4,0)</f>
        <v>Laptop</v>
      </c>
      <c r="F2">
        <f>VLOOKUP(E2,Product_Master!$A$1:$C$4,3,0)</f>
        <v>18</v>
      </c>
      <c r="G2">
        <f>F2*D2/100</f>
        <v>16200</v>
      </c>
      <c r="H2">
        <f>G2+D2</f>
        <v>106200</v>
      </c>
      <c r="I2" t="str">
        <f>VLOOKUP(A2,Sales_Data!$A$1:$G$7,2,0)</f>
        <v>North</v>
      </c>
      <c r="J2" t="str">
        <f>IF(Answer!B2&gt;3,"High","Low")</f>
        <v>Low</v>
      </c>
      <c r="K2" s="1" t="str">
        <f>TRIM(Sales_Data!G2:G7)</f>
        <v>05-01-2025</v>
      </c>
      <c r="L2" t="str">
        <f>INDEX(Product_Master!$A$1:$C$4,MATCH(E2,Product_Master!$A$1:$A$4,0),1)</f>
        <v>Laptop</v>
      </c>
      <c r="M2" t="str">
        <f>VLOOKUP(A2,Sales_Data!$A$1:$G$7,3,0)</f>
        <v>Amit</v>
      </c>
      <c r="N2" t="str">
        <f>LEFT(M2,2)</f>
        <v>Am</v>
      </c>
      <c r="O2">
        <f>ROUND(C2,2)</f>
        <v>45000</v>
      </c>
    </row>
    <row r="3" spans="1:20" x14ac:dyDescent="0.25">
      <c r="A3">
        <v>302</v>
      </c>
      <c r="B3">
        <f>VLOOKUP(A3,Sales_Data!$A$1:$G$7,5,0)</f>
        <v>5</v>
      </c>
      <c r="C3">
        <f>VLOOKUP(A3,Sales_Data!$A$1:$G$7,6,0)</f>
        <v>15000</v>
      </c>
      <c r="D3">
        <f>B3*C3</f>
        <v>75000</v>
      </c>
      <c r="E3" t="str">
        <f>VLOOKUP(A3,Sales_Data!$A$1:$G$7,4,0)</f>
        <v>Mobile</v>
      </c>
      <c r="F3">
        <f>VLOOKUP(E3,Product_Master!$A$1:$C$4,3,0)</f>
        <v>12</v>
      </c>
      <c r="G3">
        <f>F3*D3/100</f>
        <v>9000</v>
      </c>
      <c r="H3">
        <f>G3+D3</f>
        <v>84000</v>
      </c>
      <c r="I3" t="str">
        <f>VLOOKUP(A3,Sales_Data!$A$1:$G$7,2,0)</f>
        <v>South</v>
      </c>
      <c r="J3" t="str">
        <f>IF(Answer!B3&gt;3,"High","Low")</f>
        <v>High</v>
      </c>
      <c r="K3" s="1" t="str">
        <f>TRIM(Sales_Data!G3:G8)</f>
        <v>07-01-2025</v>
      </c>
      <c r="L3" t="str">
        <f>INDEX(Product_Master!$A$1:$C$4,MATCH(E3,Product_Master!$A$1:$A$4,0),1)</f>
        <v>Mobile</v>
      </c>
      <c r="M3" t="str">
        <f>VLOOKUP(A3,Sales_Data!$A$1:$G$7,3,0)</f>
        <v>Riya</v>
      </c>
      <c r="N3" t="str">
        <f>LEFT(M3,2)</f>
        <v>Ri</v>
      </c>
      <c r="O3">
        <f>ROUND(C3,2)</f>
        <v>15000</v>
      </c>
    </row>
    <row r="4" spans="1:20" x14ac:dyDescent="0.25">
      <c r="A4">
        <v>303</v>
      </c>
      <c r="B4">
        <f>VLOOKUP(A4,Sales_Data!$A$1:$G$7,5,0)</f>
        <v>3</v>
      </c>
      <c r="C4">
        <f>VLOOKUP(A4,Sales_Data!$A$1:$G$7,6,0)</f>
        <v>18000</v>
      </c>
      <c r="D4">
        <f>B4*C4</f>
        <v>54000</v>
      </c>
      <c r="E4" t="str">
        <f>VLOOKUP(A4,Sales_Data!$A$1:$G$7,4,0)</f>
        <v>Tablet</v>
      </c>
      <c r="F4">
        <f>VLOOKUP(E4,Product_Master!$A$1:$C$4,3,0)</f>
        <v>12</v>
      </c>
      <c r="G4">
        <f>F4*D4/100</f>
        <v>6480</v>
      </c>
      <c r="H4">
        <f>G4+D4</f>
        <v>60480</v>
      </c>
      <c r="I4" t="str">
        <f>VLOOKUP(A4,Sales_Data!$A$1:$G$7,2,0)</f>
        <v>East</v>
      </c>
      <c r="J4" t="str">
        <f>IF(Answer!B4&gt;3,"High","Low")</f>
        <v>Low</v>
      </c>
      <c r="K4" s="1" t="str">
        <f>TRIM(Sales_Data!G4:G9)</f>
        <v>10-01-2025</v>
      </c>
      <c r="L4" t="str">
        <f>INDEX(Product_Master!$A$1:$C$4,MATCH(E4,Product_Master!$A$1:$A$4,0),1)</f>
        <v>Tablet</v>
      </c>
      <c r="M4" t="str">
        <f>VLOOKUP(A4,Sales_Data!$A$1:$G$7,3,0)</f>
        <v>Kunal</v>
      </c>
      <c r="N4" t="str">
        <f>LEFT(M4,2)</f>
        <v>Ku</v>
      </c>
      <c r="O4">
        <f>ROUND(C4,2)</f>
        <v>18000</v>
      </c>
      <c r="S4" t="s">
        <v>80</v>
      </c>
      <c r="T4">
        <f>MAX(H2:H6)</f>
        <v>106200</v>
      </c>
    </row>
    <row r="5" spans="1:20" x14ac:dyDescent="0.25">
      <c r="A5">
        <v>305</v>
      </c>
      <c r="B5">
        <f>VLOOKUP(A5,Sales_Data!$A$1:$G$7,5,0)</f>
        <v>4</v>
      </c>
      <c r="C5">
        <f>VLOOKUP(A5,Sales_Data!$A$1:$G$7,6,0)</f>
        <v>15000</v>
      </c>
      <c r="D5">
        <f>B5*C5</f>
        <v>60000</v>
      </c>
      <c r="E5" t="str">
        <f>VLOOKUP(A5,Sales_Data!$A$1:$G$7,4,0)</f>
        <v>Mobile</v>
      </c>
      <c r="F5">
        <f>VLOOKUP(E5,Product_Master!$A$1:$C$4,3,0)</f>
        <v>12</v>
      </c>
      <c r="G5">
        <f>F5*D5/100</f>
        <v>7200</v>
      </c>
      <c r="H5">
        <f>G5+D5</f>
        <v>67200</v>
      </c>
      <c r="I5" t="str">
        <f>VLOOKUP(A5,Sales_Data!$A$1:$G$7,2,0)</f>
        <v>North</v>
      </c>
      <c r="J5" t="str">
        <f>IF(Answer!B6&gt;3,"High","Low")</f>
        <v>Low</v>
      </c>
      <c r="K5" s="1" t="e">
        <f>TRIM(Sales_Data!G6:G11)</f>
        <v>#VALUE!</v>
      </c>
      <c r="L5" t="str">
        <f>INDEX(Product_Master!$A$1:$C$4,MATCH(E5,Product_Master!$A$1:$A$4,0),1)</f>
        <v>Mobile</v>
      </c>
      <c r="M5" t="str">
        <f>VLOOKUP(A5,Sales_Data!$A$1:$G$7,3,0)</f>
        <v>Amit</v>
      </c>
      <c r="N5" t="str">
        <f>LEFT(M5,2)</f>
        <v>Am</v>
      </c>
      <c r="O5">
        <f>ROUND(C5,2)</f>
        <v>15000</v>
      </c>
      <c r="S5" t="s">
        <v>79</v>
      </c>
      <c r="T5">
        <f>MIN(H2:H6)</f>
        <v>60480</v>
      </c>
    </row>
    <row r="6" spans="1:20" x14ac:dyDescent="0.25">
      <c r="A6">
        <v>306</v>
      </c>
      <c r="B6">
        <f>VLOOKUP(A6,Sales_Data!$A$1:$G$7,5,0)</f>
        <v>2</v>
      </c>
      <c r="C6">
        <f>VLOOKUP(A6,Sales_Data!$A$1:$G$7,6,0)</f>
        <v>45000</v>
      </c>
      <c r="D6">
        <f>B6*C6</f>
        <v>90000</v>
      </c>
      <c r="E6" t="str">
        <f>VLOOKUP(A6,Sales_Data!$A$1:$G$7,4,0)</f>
        <v>Laptop</v>
      </c>
      <c r="F6">
        <f>VLOOKUP(E6,Product_Master!$A$1:$C$4,3,0)</f>
        <v>18</v>
      </c>
      <c r="G6">
        <f>F6*D6/100</f>
        <v>16200</v>
      </c>
      <c r="H6">
        <f>G6+D6</f>
        <v>106200</v>
      </c>
      <c r="I6" t="str">
        <f>VLOOKUP(A6,Sales_Data!$A$1:$G$7,2,0)</f>
        <v>South</v>
      </c>
      <c r="J6" t="str">
        <f>IF(Answer!B7&gt;3,"High","Low")</f>
        <v>Low</v>
      </c>
      <c r="K6" s="1" t="e">
        <f>TRIM(Sales_Data!G7:G12)</f>
        <v>#VALUE!</v>
      </c>
      <c r="L6" t="str">
        <f>INDEX(Product_Master!$A$1:$C$4,MATCH(E6,Product_Master!$A$1:$A$4,0),1)</f>
        <v>Laptop</v>
      </c>
      <c r="M6" t="str">
        <f>VLOOKUP(A6,Sales_Data!$A$1:$G$7,3,0)</f>
        <v>Riya</v>
      </c>
      <c r="N6" t="str">
        <f>LEFT(M6,2)</f>
        <v>Ri</v>
      </c>
      <c r="O6">
        <f>ROUND(C6,2)</f>
        <v>45000</v>
      </c>
      <c r="S6" t="s">
        <v>75</v>
      </c>
      <c r="T6">
        <f>SUM(H2:H6)</f>
        <v>424080</v>
      </c>
    </row>
    <row r="7" spans="1:20" x14ac:dyDescent="0.25">
      <c r="S7" t="s">
        <v>76</v>
      </c>
      <c r="T7">
        <f>COUNTA(A2:A6)</f>
        <v>5</v>
      </c>
    </row>
    <row r="10" spans="1:20" x14ac:dyDescent="0.25">
      <c r="A10" t="s">
        <v>5</v>
      </c>
      <c r="B10" t="s">
        <v>77</v>
      </c>
    </row>
    <row r="11" spans="1:20" x14ac:dyDescent="0.25">
      <c r="A11" t="s">
        <v>11</v>
      </c>
      <c r="B11">
        <f>SUMIF($I$2:$I$6,"North",H2:H6)</f>
        <v>173400</v>
      </c>
      <c r="S11" t="s">
        <v>99</v>
      </c>
      <c r="T11">
        <f>COUNTIFS(Answer!I2:I6,"North")</f>
        <v>2</v>
      </c>
    </row>
    <row r="12" spans="1:20" x14ac:dyDescent="0.25">
      <c r="A12" t="s">
        <v>15</v>
      </c>
      <c r="B12">
        <f>SUMIF($I$2:$I$6,"North",H3:H8)</f>
        <v>190200</v>
      </c>
    </row>
    <row r="13" spans="1:20" x14ac:dyDescent="0.25">
      <c r="A13" t="s">
        <v>19</v>
      </c>
      <c r="B13">
        <f>SUMIF($I$2:$I$6,"North",H4:H9)</f>
        <v>60480</v>
      </c>
    </row>
    <row r="14" spans="1:20" x14ac:dyDescent="0.25">
      <c r="A14" t="s">
        <v>23</v>
      </c>
      <c r="B14">
        <f>SUMIF($I$2:$I$6,"North",H5:H10)</f>
        <v>67200</v>
      </c>
    </row>
    <row r="17" spans="1:11" x14ac:dyDescent="0.25">
      <c r="A17" t="s">
        <v>4</v>
      </c>
      <c r="B17" t="s">
        <v>8</v>
      </c>
      <c r="C17" t="s">
        <v>9</v>
      </c>
      <c r="D17" t="s">
        <v>72</v>
      </c>
      <c r="E17" t="s">
        <v>7</v>
      </c>
      <c r="F17" t="s">
        <v>29</v>
      </c>
      <c r="G17" t="s">
        <v>73</v>
      </c>
      <c r="H17" t="s">
        <v>74</v>
      </c>
      <c r="I17" t="s">
        <v>5</v>
      </c>
      <c r="J17" t="s">
        <v>78</v>
      </c>
    </row>
    <row r="18" spans="1:11" x14ac:dyDescent="0.25">
      <c r="A18">
        <v>301</v>
      </c>
      <c r="B18">
        <f>VLOOKUP(A18,Sales_Data!$A$1:$G$7,5,0)</f>
        <v>2</v>
      </c>
      <c r="C18">
        <f>VLOOKUP(A18,Sales_Data!$A$1:$G$7,6,0)</f>
        <v>45000</v>
      </c>
      <c r="D18">
        <f t="shared" ref="D18:D23" si="0">B18*C18</f>
        <v>90000</v>
      </c>
      <c r="E18" t="str">
        <f>VLOOKUP(A18,Sales_Data!$A$1:$G$7,4,0)</f>
        <v>Laptop</v>
      </c>
      <c r="F18">
        <f>VLOOKUP(E18,Product_Master!$A$1:$C$4,3,0)</f>
        <v>18</v>
      </c>
      <c r="G18">
        <f t="shared" ref="G18:G23" si="1">F18*D18/100</f>
        <v>16200</v>
      </c>
      <c r="H18">
        <f t="shared" ref="H18:H23" si="2">G18+D18</f>
        <v>106200</v>
      </c>
      <c r="I18" t="str">
        <f>VLOOKUP(A18,Sales_Data!$A$1:$G$7,2,0)</f>
        <v>North</v>
      </c>
      <c r="J18" t="str">
        <f>IF(Answer!B18&gt;3,"High","Low")</f>
        <v>Low</v>
      </c>
      <c r="K18" s="1"/>
    </row>
    <row r="19" spans="1:11" x14ac:dyDescent="0.25">
      <c r="A19">
        <v>306</v>
      </c>
      <c r="B19">
        <f>VLOOKUP(A19,Sales_Data!$A$1:$G$7,5,0)</f>
        <v>2</v>
      </c>
      <c r="C19">
        <f>VLOOKUP(A19,Sales_Data!$A$1:$G$7,6,0)</f>
        <v>45000</v>
      </c>
      <c r="D19">
        <f t="shared" si="0"/>
        <v>90000</v>
      </c>
      <c r="E19" t="str">
        <f>VLOOKUP(A19,Sales_Data!$A$1:$G$7,4,0)</f>
        <v>Laptop</v>
      </c>
      <c r="F19">
        <f>VLOOKUP(E19,Product_Master!$A$1:$C$4,3,0)</f>
        <v>18</v>
      </c>
      <c r="G19">
        <f t="shared" si="1"/>
        <v>16200</v>
      </c>
      <c r="H19">
        <f t="shared" si="2"/>
        <v>106200</v>
      </c>
      <c r="I19" t="str">
        <f>VLOOKUP(A19,Sales_Data!$A$1:$G$7,2,0)</f>
        <v>South</v>
      </c>
      <c r="J19" t="str">
        <f>IF(Answer!B23&gt;3,"High","Low")</f>
        <v>Low</v>
      </c>
      <c r="K19" s="1"/>
    </row>
    <row r="20" spans="1:11" x14ac:dyDescent="0.25">
      <c r="A20">
        <v>302</v>
      </c>
      <c r="B20">
        <f>VLOOKUP(A20,Sales_Data!$A$1:$G$7,5,0)</f>
        <v>5</v>
      </c>
      <c r="C20">
        <f>VLOOKUP(A20,Sales_Data!$A$1:$G$7,6,0)</f>
        <v>15000</v>
      </c>
      <c r="D20">
        <f t="shared" si="0"/>
        <v>75000</v>
      </c>
      <c r="E20" t="str">
        <f>VLOOKUP(A20,Sales_Data!$A$1:$G$7,4,0)</f>
        <v>Mobile</v>
      </c>
      <c r="F20">
        <f>VLOOKUP(E20,Product_Master!$A$1:$C$4,3,0)</f>
        <v>12</v>
      </c>
      <c r="G20">
        <f t="shared" si="1"/>
        <v>9000</v>
      </c>
      <c r="H20">
        <f t="shared" si="2"/>
        <v>84000</v>
      </c>
      <c r="I20" t="str">
        <f>VLOOKUP(A20,Sales_Data!$A$1:$G$7,2,0)</f>
        <v>South</v>
      </c>
      <c r="J20" t="str">
        <f>IF(Answer!B19&gt;3,"High","Low")</f>
        <v>Low</v>
      </c>
      <c r="K20" s="1"/>
    </row>
    <row r="21" spans="1:11" x14ac:dyDescent="0.25">
      <c r="A21">
        <v>305</v>
      </c>
      <c r="B21">
        <f>VLOOKUP(A21,Sales_Data!$A$1:$G$7,5,0)</f>
        <v>4</v>
      </c>
      <c r="C21">
        <f>VLOOKUP(A21,Sales_Data!$A$1:$G$7,6,0)</f>
        <v>15000</v>
      </c>
      <c r="D21">
        <f t="shared" si="0"/>
        <v>60000</v>
      </c>
      <c r="E21" t="str">
        <f>VLOOKUP(A21,Sales_Data!$A$1:$G$7,4,0)</f>
        <v>Mobile</v>
      </c>
      <c r="F21">
        <f>VLOOKUP(E21,Product_Master!$A$1:$C$4,3,0)</f>
        <v>12</v>
      </c>
      <c r="G21">
        <f t="shared" si="1"/>
        <v>7200</v>
      </c>
      <c r="H21">
        <f t="shared" si="2"/>
        <v>67200</v>
      </c>
      <c r="I21" t="str">
        <f>VLOOKUP(A21,Sales_Data!$A$1:$G$7,2,0)</f>
        <v>North</v>
      </c>
      <c r="J21" t="str">
        <f>IF(Answer!B22&gt;3,"High","Low")</f>
        <v>Low</v>
      </c>
      <c r="K21" s="1"/>
    </row>
    <row r="22" spans="1:11" x14ac:dyDescent="0.25">
      <c r="A22">
        <v>303</v>
      </c>
      <c r="B22">
        <f>VLOOKUP(A22,Sales_Data!$A$1:$G$7,5,0)</f>
        <v>3</v>
      </c>
      <c r="C22">
        <f>VLOOKUP(A22,Sales_Data!$A$1:$G$7,6,0)</f>
        <v>18000</v>
      </c>
      <c r="D22">
        <f t="shared" si="0"/>
        <v>54000</v>
      </c>
      <c r="E22" t="str">
        <f>VLOOKUP(A22,Sales_Data!$A$1:$G$7,4,0)</f>
        <v>Tablet</v>
      </c>
      <c r="F22">
        <f>VLOOKUP(E22,Product_Master!$A$1:$C$4,3,0)</f>
        <v>12</v>
      </c>
      <c r="G22">
        <f t="shared" si="1"/>
        <v>6480</v>
      </c>
      <c r="H22">
        <f t="shared" si="2"/>
        <v>60480</v>
      </c>
      <c r="I22" t="str">
        <f>VLOOKUP(A22,Sales_Data!$A$1:$G$7,2,0)</f>
        <v>East</v>
      </c>
      <c r="J22" t="str">
        <f>IF(Answer!B20&gt;3,"High","Low")</f>
        <v>High</v>
      </c>
      <c r="K22" s="1"/>
    </row>
    <row r="23" spans="1:11" x14ac:dyDescent="0.25">
      <c r="A23">
        <v>304</v>
      </c>
      <c r="B23">
        <f>VLOOKUP(A23,Sales_Data!$A$1:$G$7,5,0)</f>
        <v>1</v>
      </c>
      <c r="C23">
        <f>VLOOKUP(A23,Sales_Data!$A$1:$G$7,6,0)</f>
        <v>45000</v>
      </c>
      <c r="D23">
        <f t="shared" si="0"/>
        <v>45000</v>
      </c>
      <c r="E23" t="str">
        <f>VLOOKUP(A23,Sales_Data!$A$1:$G$7,4,0)</f>
        <v>Laptop</v>
      </c>
      <c r="F23">
        <f>VLOOKUP(E23,Product_Master!$A$1:$C$4,3,0)</f>
        <v>18</v>
      </c>
      <c r="G23">
        <f t="shared" si="1"/>
        <v>8100</v>
      </c>
      <c r="H23">
        <f t="shared" si="2"/>
        <v>53100</v>
      </c>
      <c r="I23" t="str">
        <f>VLOOKUP(A23,Sales_Data!$A$1:$G$7,2,0)</f>
        <v>West</v>
      </c>
      <c r="J23" t="str">
        <f>IF(Answer!B21&gt;3,"High","Low")</f>
        <v>High</v>
      </c>
      <c r="K23" s="1"/>
    </row>
  </sheetData>
  <conditionalFormatting sqref="H2:H6">
    <cfRule type="cellIs" dxfId="1" priority="1" operator="greaterThan">
      <formula>90000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44087-4394-4472-85BD-F4651D2DA664}">
  <dimension ref="A1:O18"/>
  <sheetViews>
    <sheetView workbookViewId="0">
      <selection activeCell="H2" sqref="H2:H6"/>
    </sheetView>
  </sheetViews>
  <sheetFormatPr defaultRowHeight="15" x14ac:dyDescent="0.25"/>
  <cols>
    <col min="1" max="1" width="10.85546875" bestFit="1" customWidth="1"/>
    <col min="2" max="3" width="6.42578125" bestFit="1" customWidth="1"/>
    <col min="4" max="4" width="8.85546875" bestFit="1" customWidth="1"/>
    <col min="5" max="5" width="5.5703125" bestFit="1" customWidth="1"/>
    <col min="6" max="6" width="14" bestFit="1" customWidth="1"/>
    <col min="7" max="7" width="11.28515625" bestFit="1" customWidth="1"/>
  </cols>
  <sheetData>
    <row r="1" spans="1:15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88</v>
      </c>
      <c r="H1" t="s">
        <v>97</v>
      </c>
    </row>
    <row r="2" spans="1:15" x14ac:dyDescent="0.2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  <c r="G2" t="str">
        <f>IF(F2&gt;=85,"Eligible","Not Eligible")</f>
        <v>Eligible</v>
      </c>
      <c r="H2" t="str">
        <f>_xlfn.CONCAT(A2,B2)</f>
        <v>1Rahul</v>
      </c>
    </row>
    <row r="3" spans="1:15" x14ac:dyDescent="0.2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  <c r="G3" t="str">
        <f t="shared" ref="G3:G6" si="0">IF(F3&gt;=85,"Eligible","Not Eligible")</f>
        <v>Eligible</v>
      </c>
      <c r="H3" t="str">
        <f t="shared" ref="H3:H6" si="1">_xlfn.CONCAT(A3,B3)</f>
        <v>2Sneha</v>
      </c>
    </row>
    <row r="4" spans="1:15" x14ac:dyDescent="0.2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  <c r="G4" t="str">
        <f t="shared" si="0"/>
        <v>Eligible</v>
      </c>
      <c r="H4" t="str">
        <f t="shared" si="1"/>
        <v>3Arjun</v>
      </c>
    </row>
    <row r="5" spans="1:15" x14ac:dyDescent="0.2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  <c r="G5" t="str">
        <f t="shared" si="0"/>
        <v>Eligible</v>
      </c>
      <c r="H5" t="str">
        <f t="shared" si="1"/>
        <v>4Pooja</v>
      </c>
    </row>
    <row r="6" spans="1:15" x14ac:dyDescent="0.2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  <c r="G6" t="str">
        <f t="shared" si="0"/>
        <v>Not Eligible</v>
      </c>
      <c r="H6" t="str">
        <f t="shared" si="1"/>
        <v>5Vikas</v>
      </c>
    </row>
    <row r="8" spans="1:15" x14ac:dyDescent="0.25">
      <c r="J8" t="s">
        <v>82</v>
      </c>
      <c r="K8" t="s">
        <v>86</v>
      </c>
    </row>
    <row r="9" spans="1:15" x14ac:dyDescent="0.25">
      <c r="J9" t="s">
        <v>37</v>
      </c>
      <c r="K9" s="2">
        <f>SUM(C2:E2)/3</f>
        <v>81.666666666666671</v>
      </c>
    </row>
    <row r="10" spans="1:15" x14ac:dyDescent="0.25">
      <c r="J10" t="s">
        <v>38</v>
      </c>
      <c r="K10" s="2">
        <f t="shared" ref="K10:K13" si="2">SUM(C3:E3)/3</f>
        <v>89.666666666666671</v>
      </c>
      <c r="N10" t="s">
        <v>84</v>
      </c>
      <c r="O10" t="s">
        <v>85</v>
      </c>
    </row>
    <row r="11" spans="1:15" x14ac:dyDescent="0.25">
      <c r="J11" t="s">
        <v>39</v>
      </c>
      <c r="K11" s="2">
        <f t="shared" si="2"/>
        <v>69</v>
      </c>
      <c r="N11" t="str">
        <f>_xlfn.XLOOKUP(O11,K9:K13,J9:J13)</f>
        <v>Pooja</v>
      </c>
      <c r="O11" s="2">
        <f>MAX(K9:K13)</f>
        <v>91.666666666666671</v>
      </c>
    </row>
    <row r="12" spans="1:15" x14ac:dyDescent="0.25">
      <c r="J12" t="s">
        <v>40</v>
      </c>
      <c r="K12" s="2">
        <f t="shared" si="2"/>
        <v>91.666666666666671</v>
      </c>
    </row>
    <row r="13" spans="1:15" x14ac:dyDescent="0.25">
      <c r="J13" t="s">
        <v>41</v>
      </c>
      <c r="K13" s="2">
        <f t="shared" si="2"/>
        <v>57.666666666666664</v>
      </c>
    </row>
    <row r="14" spans="1:15" x14ac:dyDescent="0.25">
      <c r="D14" t="s">
        <v>95</v>
      </c>
      <c r="E14">
        <f>MEDIAN(D2:D6)</f>
        <v>82</v>
      </c>
    </row>
    <row r="15" spans="1:15" x14ac:dyDescent="0.25">
      <c r="D15" t="s">
        <v>96</v>
      </c>
      <c r="E15">
        <f>_xlfn.STDEV.P(E2:E6)</f>
        <v>13.181805642627264</v>
      </c>
    </row>
    <row r="17" spans="10:10" x14ac:dyDescent="0.25">
      <c r="J17" t="s">
        <v>87</v>
      </c>
    </row>
    <row r="18" spans="10:10" x14ac:dyDescent="0.25">
      <c r="J18">
        <f>COUNTIF(F2:F6, "&gt;90")</f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62AFA-7CC6-4EE4-8E02-3B88DFA8F7D2}">
  <dimension ref="B8:L21"/>
  <sheetViews>
    <sheetView workbookViewId="0">
      <selection activeCell="K8" sqref="K8:L14"/>
    </sheetView>
  </sheetViews>
  <sheetFormatPr defaultRowHeight="15" x14ac:dyDescent="0.25"/>
  <cols>
    <col min="1" max="2" width="13.140625" bestFit="1" customWidth="1"/>
    <col min="3" max="3" width="17.28515625" bestFit="1" customWidth="1"/>
    <col min="11" max="12" width="13.140625" bestFit="1" customWidth="1"/>
  </cols>
  <sheetData>
    <row r="8" spans="2:12" x14ac:dyDescent="0.25">
      <c r="K8" s="4" t="s">
        <v>91</v>
      </c>
      <c r="L8" t="s">
        <v>94</v>
      </c>
    </row>
    <row r="9" spans="2:12" x14ac:dyDescent="0.25">
      <c r="B9" s="4" t="s">
        <v>91</v>
      </c>
      <c r="C9" t="s">
        <v>93</v>
      </c>
      <c r="K9" s="5" t="s">
        <v>39</v>
      </c>
      <c r="L9" s="3">
        <v>69</v>
      </c>
    </row>
    <row r="10" spans="2:12" x14ac:dyDescent="0.25">
      <c r="B10" s="5" t="s">
        <v>13</v>
      </c>
      <c r="C10" s="3">
        <v>225000</v>
      </c>
      <c r="K10" s="5" t="s">
        <v>40</v>
      </c>
      <c r="L10" s="3">
        <v>91.666666666666671</v>
      </c>
    </row>
    <row r="11" spans="2:12" x14ac:dyDescent="0.25">
      <c r="B11" s="5" t="s">
        <v>17</v>
      </c>
      <c r="C11" s="3">
        <v>135000</v>
      </c>
      <c r="K11" s="5" t="s">
        <v>37</v>
      </c>
      <c r="L11" s="3">
        <v>81.666666666666671</v>
      </c>
    </row>
    <row r="12" spans="2:12" x14ac:dyDescent="0.25">
      <c r="B12" s="5" t="s">
        <v>21</v>
      </c>
      <c r="C12" s="3">
        <v>54000</v>
      </c>
      <c r="K12" s="5" t="s">
        <v>38</v>
      </c>
      <c r="L12" s="3">
        <v>89.666666666666671</v>
      </c>
    </row>
    <row r="13" spans="2:12" x14ac:dyDescent="0.25">
      <c r="B13" s="5" t="s">
        <v>92</v>
      </c>
      <c r="C13" s="3">
        <v>414000</v>
      </c>
      <c r="K13" s="5" t="s">
        <v>41</v>
      </c>
      <c r="L13" s="3">
        <v>57.666666666666664</v>
      </c>
    </row>
    <row r="14" spans="2:12" x14ac:dyDescent="0.25">
      <c r="K14" s="5" t="s">
        <v>92</v>
      </c>
      <c r="L14" s="3">
        <v>389.66666666666674</v>
      </c>
    </row>
    <row r="16" spans="2:12" x14ac:dyDescent="0.25">
      <c r="B16" s="4" t="s">
        <v>91</v>
      </c>
      <c r="C16" t="s">
        <v>93</v>
      </c>
      <c r="F16" s="4" t="s">
        <v>91</v>
      </c>
      <c r="G16" t="s">
        <v>93</v>
      </c>
    </row>
    <row r="17" spans="2:7" x14ac:dyDescent="0.25">
      <c r="B17" s="5" t="s">
        <v>19</v>
      </c>
      <c r="C17" s="3">
        <v>54000</v>
      </c>
      <c r="F17" s="5" t="s">
        <v>13</v>
      </c>
      <c r="G17" s="3">
        <v>225000</v>
      </c>
    </row>
    <row r="18" spans="2:7" x14ac:dyDescent="0.25">
      <c r="B18" s="5" t="s">
        <v>11</v>
      </c>
      <c r="C18" s="3">
        <v>150000</v>
      </c>
      <c r="F18" s="5" t="s">
        <v>17</v>
      </c>
      <c r="G18" s="3">
        <v>135000</v>
      </c>
    </row>
    <row r="19" spans="2:7" x14ac:dyDescent="0.25">
      <c r="B19" s="5" t="s">
        <v>15</v>
      </c>
      <c r="C19" s="3">
        <v>165000</v>
      </c>
      <c r="F19" s="5" t="s">
        <v>21</v>
      </c>
      <c r="G19" s="3">
        <v>54000</v>
      </c>
    </row>
    <row r="20" spans="2:7" x14ac:dyDescent="0.25">
      <c r="B20" s="5" t="s">
        <v>23</v>
      </c>
      <c r="C20" s="3">
        <v>45000</v>
      </c>
      <c r="F20" s="5" t="s">
        <v>92</v>
      </c>
      <c r="G20" s="3">
        <v>414000</v>
      </c>
    </row>
    <row r="21" spans="2:7" x14ac:dyDescent="0.25">
      <c r="B21" s="5" t="s">
        <v>92</v>
      </c>
      <c r="C21" s="3">
        <v>414000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AC6FF-8DD0-40A2-810A-30E70C7196DA}">
  <dimension ref="A1"/>
  <sheetViews>
    <sheetView tabSelected="1" workbookViewId="0">
      <selection activeCell="K24" sqref="K24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A97509-DA78-4AD8-9344-174BAB769B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Sales_Data</vt:lpstr>
      <vt:lpstr>Product_Master</vt:lpstr>
      <vt:lpstr>Student_Marks</vt:lpstr>
      <vt:lpstr>Questions</vt:lpstr>
      <vt:lpstr>Answer-3</vt:lpstr>
      <vt:lpstr>Answer</vt:lpstr>
      <vt:lpstr>Answer-2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ASDC36</cp:lastModifiedBy>
  <dcterms:created xsi:type="dcterms:W3CDTF">2025-12-20T09:26:06Z</dcterms:created>
  <dcterms:modified xsi:type="dcterms:W3CDTF">2026-04-21T11:55:43Z</dcterms:modified>
</cp:coreProperties>
</file>